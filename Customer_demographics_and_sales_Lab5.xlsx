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76\Downloads\"/>
    </mc:Choice>
  </mc:AlternateContent>
  <xr:revisionPtr revIDLastSave="0" documentId="13_ncr:1_{6CF62D99-FAAC-4F38-BF43-F3677712DDE6}" xr6:coauthVersionLast="47" xr6:coauthVersionMax="47" xr10:uidLastSave="{00000000-0000-0000-0000-000000000000}"/>
  <bookViews>
    <workbookView xWindow="12576" yWindow="0" windowWidth="11496" windowHeight="12072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Sheet1!$A$1:$BL$195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2" i="1"/>
</calcChain>
</file>

<file path=xl/sharedStrings.xml><?xml version="1.0" encoding="utf-8"?>
<sst xmlns="http://schemas.openxmlformats.org/spreadsheetml/2006/main" count="3452" uniqueCount="660">
  <si>
    <t>Baby Food</t>
  </si>
  <si>
    <t>Diapers</t>
  </si>
  <si>
    <t>Formula</t>
  </si>
  <si>
    <t>Lotion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</si>
  <si>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</si>
  <si>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</si>
  <si>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</si>
  <si>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</si>
  <si>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</si>
  <si>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</si>
  <si>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</si>
  <si>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</si>
  <si>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</si>
  <si>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</si>
  <si>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</si>
  <si>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</si>
  <si>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</si>
  <si>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</si>
  <si>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</si>
  <si>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</si>
  <si>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</si>
  <si>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</si>
  <si>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</si>
  <si>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</si>
  <si>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</si>
  <si>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</si>
  <si>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</si>
  <si>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</si>
  <si>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>Mr.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</si>
  <si>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</si>
  <si>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</si>
  <si>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</si>
  <si>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</si>
  <si>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</si>
  <si>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</si>
  <si>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</si>
  <si>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</si>
  <si>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</si>
  <si>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Phone</t>
  </si>
  <si>
    <t>Frequent</t>
  </si>
  <si>
    <t>MediumValue</t>
  </si>
  <si>
    <t xml:space="preserve">SW277 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</si>
  <si>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</si>
  <si>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</si>
  <si>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</si>
  <si>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</si>
  <si>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</si>
  <si>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</si>
  <si>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</si>
  <si>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</si>
  <si>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</si>
  <si>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</si>
  <si>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</si>
  <si>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</si>
  <si>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</si>
  <si>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</si>
  <si>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</si>
  <si>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</si>
  <si>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</si>
  <si>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</si>
  <si>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</si>
  <si>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</si>
  <si>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</si>
  <si>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</si>
  <si>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</si>
  <si>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</si>
  <si>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</si>
  <si>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 xml:space="preserve">SW340 </t>
  </si>
  <si>
    <t xml:space="preserve">NW310 </t>
  </si>
  <si>
    <t xml:space="preserve">NC100 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</si>
  <si>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</si>
  <si>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</si>
  <si>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</si>
  <si>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</si>
  <si>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</si>
  <si>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</si>
  <si>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</si>
  <si>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</si>
  <si>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</si>
  <si>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SC193 </t>
  </si>
  <si>
    <t xml:space="preserve">RP253 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</si>
  <si>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</si>
  <si>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</si>
  <si>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</si>
  <si>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</si>
  <si>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</si>
  <si>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</si>
  <si>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</si>
  <si>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 xml:space="preserve">NC358 </t>
  </si>
  <si>
    <t xml:space="preserve">SC256 </t>
  </si>
  <si>
    <t>1660 Lighthouse Drive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</si>
  <si>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</si>
  <si>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</si>
  <si>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</si>
  <si>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</si>
  <si>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</si>
  <si>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</si>
  <si>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</si>
  <si>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</si>
  <si>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</si>
  <si>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</si>
  <si>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</si>
  <si>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</si>
  <si>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</si>
  <si>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</si>
  <si>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</si>
  <si>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</si>
  <si>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</si>
  <si>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</si>
  <si>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</si>
  <si>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</si>
  <si>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</si>
  <si>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</si>
  <si>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</si>
  <si>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 xml:space="preserve">NW115 </t>
  </si>
  <si>
    <t xml:space="preserve">NW112 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</si>
  <si>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</si>
  <si>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</si>
  <si>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</si>
  <si>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</si>
  <si>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</si>
  <si>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</si>
  <si>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</si>
  <si>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</si>
  <si>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</si>
  <si>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</si>
  <si>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</si>
  <si>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</si>
  <si>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</si>
  <si>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</si>
  <si>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</si>
  <si>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</si>
  <si>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</si>
  <si>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</si>
  <si>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</si>
  <si>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</si>
  <si>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</si>
  <si>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</si>
  <si>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</si>
  <si>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</si>
  <si>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</si>
  <si>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</si>
  <si>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</si>
  <si>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</si>
  <si>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</si>
  <si>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</si>
  <si>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</si>
  <si>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</si>
  <si>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</si>
  <si>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</si>
  <si>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</si>
  <si>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</si>
  <si>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</si>
  <si>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</si>
  <si>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</si>
  <si>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</si>
  <si>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</si>
  <si>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</si>
  <si>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</si>
  <si>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</si>
  <si>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</si>
  <si>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</si>
  <si>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</si>
  <si>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</si>
  <si>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</si>
  <si>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</si>
  <si>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</si>
  <si>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</si>
  <si>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</si>
  <si>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>3020 Callison Lane</t>
  </si>
  <si>
    <t>Allentown</t>
  </si>
  <si>
    <t>MD</t>
  </si>
  <si>
    <t>Rafael.G.Middleton@spambob.com</t>
  </si>
  <si>
    <t>781-315-9600</t>
  </si>
  <si>
    <t xml:space="preserve">SC262 </t>
  </si>
  <si>
    <t xml:space="preserve">WE220 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</si>
  <si>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</si>
  <si>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</si>
  <si>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</si>
  <si>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</si>
  <si>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</si>
  <si>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</si>
  <si>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</si>
  <si>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</si>
  <si>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</si>
  <si>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</si>
  <si>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</si>
  <si>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</si>
  <si>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</si>
  <si>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</si>
  <si>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</si>
  <si>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</si>
  <si>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</si>
  <si>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</si>
  <si>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</si>
  <si>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</si>
  <si>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</si>
  <si>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</si>
  <si>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</si>
  <si>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</si>
  <si>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</si>
  <si>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</si>
  <si>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</si>
  <si>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</si>
  <si>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</si>
  <si>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</si>
  <si>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</si>
  <si>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</si>
  <si>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</si>
  <si>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</si>
  <si>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>388 Kelly Drive</t>
  </si>
  <si>
    <t>Ancona</t>
  </si>
  <si>
    <t>AN</t>
  </si>
  <si>
    <t>Michael.S.Gordon@dodgeit.com</t>
  </si>
  <si>
    <t>0373 6095994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</si>
  <si>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</si>
  <si>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</si>
  <si>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</si>
  <si>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</si>
  <si>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</si>
  <si>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</si>
  <si>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</si>
  <si>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</si>
  <si>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</si>
  <si>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 xml:space="preserve">NE109 </t>
  </si>
  <si>
    <t>4245 Adamsville Road</t>
  </si>
  <si>
    <t>Angwin</t>
  </si>
  <si>
    <t>Katherine.W.Mullins@spambob.com</t>
  </si>
  <si>
    <t>503-688-0336</t>
  </si>
  <si>
    <t>X6490143A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</si>
  <si>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</si>
  <si>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</si>
  <si>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</si>
  <si>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</si>
  <si>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</si>
  <si>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</si>
  <si>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</si>
  <si>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</si>
  <si>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</si>
  <si>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</si>
  <si>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</si>
  <si>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</si>
  <si>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</si>
  <si>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</si>
  <si>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</si>
  <si>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 xml:space="preserve">SE331 </t>
  </si>
  <si>
    <t xml:space="preserve">SW406 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</si>
  <si>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</si>
  <si>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</si>
  <si>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</si>
  <si>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</si>
  <si>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</si>
  <si>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</si>
  <si>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</si>
  <si>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NW118 </t>
  </si>
  <si>
    <t>1346 Carter Street</t>
  </si>
  <si>
    <t>Appleton</t>
  </si>
  <si>
    <t>Ahmed.P.Richard@mailinator.com</t>
  </si>
  <si>
    <t>510-517-7759</t>
  </si>
  <si>
    <t xml:space="preserve">SW214 </t>
  </si>
  <si>
    <t>Archez</t>
  </si>
  <si>
    <t>Ray.M.Hornsby@pookmail.com</t>
  </si>
  <si>
    <t>91-271-2747</t>
  </si>
  <si>
    <t>TMWEAA77M18B017F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</si>
  <si>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</si>
  <si>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</si>
  <si>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</si>
  <si>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</si>
  <si>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</si>
  <si>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</si>
  <si>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</si>
  <si>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</si>
  <si>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</si>
  <si>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</si>
  <si>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</si>
  <si>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</si>
  <si>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</si>
  <si>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</si>
  <si>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</si>
  <si>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</si>
  <si>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</si>
  <si>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</si>
  <si>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</si>
  <si>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</si>
  <si>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</si>
  <si>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</si>
  <si>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</si>
  <si>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</si>
  <si>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</si>
  <si>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</si>
  <si>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</si>
  <si>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</si>
  <si>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</si>
  <si>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NC229 </t>
  </si>
  <si>
    <t>45 Graystone Lakes</t>
  </si>
  <si>
    <t>Asheboro</t>
  </si>
  <si>
    <t>NC</t>
  </si>
  <si>
    <t>Harry.L.Brumback@dodgeit.com</t>
  </si>
  <si>
    <t>773-577-9355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</si>
  <si>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</si>
  <si>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</si>
  <si>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</si>
  <si>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</si>
  <si>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</si>
  <si>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</si>
  <si>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</si>
  <si>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</si>
  <si>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>4985 Barnes Avenue</t>
  </si>
  <si>
    <t>Asquith</t>
  </si>
  <si>
    <t>Melba.M.Whitehead@trashymail.com</t>
  </si>
  <si>
    <t>(07) 4507 5357</t>
  </si>
  <si>
    <t>0568157B</t>
  </si>
  <si>
    <t xml:space="preserve">NC364 </t>
  </si>
  <si>
    <t xml:space="preserve">NC169 </t>
  </si>
  <si>
    <t>2540 School Street</t>
  </si>
  <si>
    <t>Athens</t>
  </si>
  <si>
    <t>Ivan.J.Case@dodgeit.com</t>
  </si>
  <si>
    <t>512-391-4111</t>
  </si>
  <si>
    <t xml:space="preserve">RP319 </t>
  </si>
  <si>
    <t>488 Lonely Oak Drive</t>
  </si>
  <si>
    <t>Atlanta</t>
  </si>
  <si>
    <t>GA</t>
  </si>
  <si>
    <t>Bob.N.Davenport@pookmail.com</t>
  </si>
  <si>
    <t>512-912-9995</t>
  </si>
  <si>
    <t>3339 Twin Willow Lane</t>
  </si>
  <si>
    <t>Jennifer.M.Howard@spambob.com</t>
  </si>
  <si>
    <t>559-927-9392</t>
  </si>
  <si>
    <t>SQOOUI42T60G511Z</t>
  </si>
  <si>
    <t xml:space="preserve">NE238 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</si>
  <si>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</si>
  <si>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</si>
  <si>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</si>
  <si>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</si>
  <si>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</si>
  <si>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</si>
  <si>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</si>
  <si>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>4858 Bottom Lane</t>
  </si>
  <si>
    <t>Auburn</t>
  </si>
  <si>
    <t>WA</t>
  </si>
  <si>
    <t>Arlene.M.Cruz@mailinator.com</t>
  </si>
  <si>
    <t>817-905-6598</t>
  </si>
  <si>
    <t>CQQVJC41M50H989G</t>
  </si>
  <si>
    <t>3362 Post Avenue</t>
  </si>
  <si>
    <t>Aulnay-sous-bois</t>
  </si>
  <si>
    <t>Mildred.M.Carey@mailinator.com</t>
  </si>
  <si>
    <t>03.43.65.57.75</t>
  </si>
  <si>
    <t>5876860S</t>
  </si>
  <si>
    <t>2756 Johnson Street</t>
  </si>
  <si>
    <t>Austin</t>
  </si>
  <si>
    <t>Yasmin.D.Cole@pookmail.com</t>
  </si>
  <si>
    <t>703-633-1911</t>
  </si>
  <si>
    <t>1062903G</t>
  </si>
  <si>
    <t xml:space="preserve">WE226 </t>
  </si>
  <si>
    <t xml:space="preserve">SC124 </t>
  </si>
  <si>
    <t>1177 Petunia Way</t>
  </si>
  <si>
    <t>Avio</t>
  </si>
  <si>
    <t>Jodi.S.Bugg@spambob.com</t>
  </si>
  <si>
    <t>0396 3484999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</si>
  <si>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</si>
  <si>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</si>
  <si>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</si>
  <si>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</si>
  <si>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</si>
  <si>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</si>
  <si>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</si>
  <si>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>491 Browning Lane</t>
  </si>
  <si>
    <t>Badia Di Cava De Tirreni</t>
  </si>
  <si>
    <t>Allen.L.Rice@pookmail.com</t>
  </si>
  <si>
    <t>0310 4718739</t>
  </si>
  <si>
    <t>YH860602C</t>
  </si>
  <si>
    <t>2895 Jennifer Lane</t>
  </si>
  <si>
    <t>Bagnasco</t>
  </si>
  <si>
    <t>CN</t>
  </si>
  <si>
    <t>Bradford.H.Claassen@mailinator.com</t>
  </si>
  <si>
    <t>0378 3425616</t>
  </si>
  <si>
    <t xml:space="preserve">SC394 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</si>
  <si>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</si>
  <si>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</si>
  <si>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</si>
  <si>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</si>
  <si>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</si>
  <si>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</si>
  <si>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</si>
  <si>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>1043 Lynn Avenue</t>
  </si>
  <si>
    <t>Bakersfield</t>
  </si>
  <si>
    <t>Dwight.L.Armenta@dodgeit.com</t>
  </si>
  <si>
    <t>512-885-6258</t>
  </si>
  <si>
    <t>age-24</t>
  </si>
  <si>
    <t xml:space="preserve">SW145 </t>
  </si>
  <si>
    <t>1117 Yorkshire Circle</t>
  </si>
  <si>
    <t>Balliang</t>
  </si>
  <si>
    <t>VIC</t>
  </si>
  <si>
    <t>Michael.M.Pritchard@trashymail.com</t>
  </si>
  <si>
    <t>(08) 9072 2460</t>
  </si>
  <si>
    <t>947 Rainbow Road</t>
  </si>
  <si>
    <t>Baltimore</t>
  </si>
  <si>
    <t>Elizabeth.B.Martinez@mailinator.com</t>
  </si>
  <si>
    <t>314-268-8613</t>
  </si>
  <si>
    <t>UAAUXX18L25A259N</t>
  </si>
  <si>
    <t>1646 Tenmile</t>
  </si>
  <si>
    <t>Mary.T.Bates@pookmail.com</t>
  </si>
  <si>
    <t>503-337-6080</t>
  </si>
  <si>
    <t>2167155A</t>
  </si>
  <si>
    <t>4103 Wilmar Farm Road</t>
  </si>
  <si>
    <t>Banora Point</t>
  </si>
  <si>
    <t>Mandy.M.Fernandez@pookmail.com</t>
  </si>
  <si>
    <t>(03) 5361 9459</t>
  </si>
  <si>
    <t>2359270E</t>
  </si>
  <si>
    <t>701 Clarksburg Park Road</t>
  </si>
  <si>
    <t>Barnwell</t>
  </si>
  <si>
    <t>SC</t>
  </si>
  <si>
    <t>Megan.R.Mauro@pookmail.com</t>
  </si>
  <si>
    <t>631-732-3842</t>
  </si>
  <si>
    <t>4904 Hamilton Drive</t>
  </si>
  <si>
    <t>Barsbittel</t>
  </si>
  <si>
    <t>John.S.Riley@spambob.com</t>
  </si>
  <si>
    <t>04329 69 96 01</t>
  </si>
  <si>
    <t>170 Angie Drive</t>
  </si>
  <si>
    <t>Bisecting</t>
  </si>
  <si>
    <t>SS</t>
  </si>
  <si>
    <t>Felix.R.Myers@mailinator.com</t>
  </si>
  <si>
    <t>0389 7059753</t>
  </si>
  <si>
    <t>AH088707D</t>
  </si>
  <si>
    <t>Bassacutena</t>
  </si>
  <si>
    <t>3540 Stout Street</t>
  </si>
  <si>
    <t>Baton Rouge</t>
  </si>
  <si>
    <t>Frank.K.Westra@spambob.com</t>
  </si>
  <si>
    <t>661-947-3606</t>
  </si>
  <si>
    <t xml:space="preserve">NW376 </t>
  </si>
  <si>
    <t>2374 Christie Way</t>
  </si>
  <si>
    <t>Beasain</t>
  </si>
  <si>
    <t>Jack.L.Owens@spambob.com</t>
  </si>
  <si>
    <t>91-102-2453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</si>
  <si>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</si>
  <si>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</si>
  <si>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</si>
  <si>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</si>
  <si>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</si>
  <si>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</si>
  <si>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>546 Lakewood Drive</t>
  </si>
  <si>
    <t>Belleville</t>
  </si>
  <si>
    <t>IL</t>
  </si>
  <si>
    <t>Robert.M.Ojeda@mailinator.com</t>
  </si>
  <si>
    <t>503-705-8957</t>
  </si>
  <si>
    <t>54 Kelly Drive</t>
  </si>
  <si>
    <t>Beltsville</t>
  </si>
  <si>
    <t>Thomas.S.Farris@spambob.com</t>
  </si>
  <si>
    <t>616-788-0599</t>
  </si>
  <si>
    <t xml:space="preserve">SE337 </t>
  </si>
  <si>
    <t xml:space="preserve">NE106 </t>
  </si>
  <si>
    <t>15 Lords Way</t>
  </si>
  <si>
    <t>Joseph.J.Shafer@trashymail.com</t>
  </si>
  <si>
    <t>212-833-9423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</si>
  <si>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</si>
  <si>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</si>
  <si>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</si>
  <si>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</si>
  <si>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</si>
  <si>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</si>
  <si>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SE139 </t>
  </si>
  <si>
    <t>4039 Kelley Road</t>
  </si>
  <si>
    <t>Bensalem</t>
  </si>
  <si>
    <t>PA</t>
  </si>
  <si>
    <t>Jodi.B.Stanley@spambob.com</t>
  </si>
  <si>
    <t>262-385-8894</t>
  </si>
  <si>
    <t>2078 Plainfield Avenue</t>
  </si>
  <si>
    <t>Berchtesgaden</t>
  </si>
  <si>
    <t>Betty.D.Grimes@mailinator.com</t>
  </si>
  <si>
    <t>08091 13 31 66</t>
  </si>
  <si>
    <t>2134 Watson Lane</t>
  </si>
  <si>
    <t>Bergotto</t>
  </si>
  <si>
    <t>PR</t>
  </si>
  <si>
    <t>Tony.D.Brooks@mailinator.com</t>
  </si>
  <si>
    <t>0357 7464003</t>
  </si>
  <si>
    <t>4592 Poplar Lane</t>
  </si>
  <si>
    <t>Besnate</t>
  </si>
  <si>
    <t>Michael.K.Reed@trashymail.com</t>
  </si>
  <si>
    <t>0399 7420631</t>
  </si>
  <si>
    <t>3591 Nutters Barn Lane</t>
  </si>
  <si>
    <t>Beverly Hills</t>
  </si>
  <si>
    <t>Rosemary.J.Herbert@pookmail.com</t>
  </si>
  <si>
    <t>814-393-3387</t>
  </si>
  <si>
    <t>2659 Werninger Street</t>
  </si>
  <si>
    <t>Biancade</t>
  </si>
  <si>
    <t>TV</t>
  </si>
  <si>
    <t>Judy.B.Larkin@pookmail.com</t>
  </si>
  <si>
    <t>0344 8952963</t>
  </si>
  <si>
    <t>Biarritz</t>
  </si>
  <si>
    <t>Judy.G.Hopping@pookmail.com</t>
  </si>
  <si>
    <t>01.83.63.72.29</t>
  </si>
  <si>
    <t xml:space="preserve">NW313 </t>
  </si>
  <si>
    <t>2027 Harley Brook Lane</t>
  </si>
  <si>
    <t>Biebrich</t>
  </si>
  <si>
    <t>Joseph.S.Rogers@mailinator.com</t>
  </si>
  <si>
    <t>0201 25 24 10</t>
  </si>
  <si>
    <t>7500577R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</si>
  <si>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</si>
  <si>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</si>
  <si>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</si>
  <si>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</si>
  <si>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</si>
  <si>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</si>
  <si>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SW280 </t>
  </si>
  <si>
    <t>928 Adonais Way</t>
  </si>
  <si>
    <t>Birch Creek</t>
  </si>
  <si>
    <t>AK</t>
  </si>
  <si>
    <t>Charles.F.Pickett@spambob.com</t>
  </si>
  <si>
    <t>402-856-9229</t>
  </si>
  <si>
    <t>4900352H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</si>
  <si>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</si>
  <si>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</si>
  <si>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</si>
  <si>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</si>
  <si>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</si>
  <si>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</si>
  <si>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NE301 </t>
  </si>
  <si>
    <t>4333 Morningview Lane</t>
  </si>
  <si>
    <t>Rebecca.C.Uresti@trashymail.com</t>
  </si>
  <si>
    <t>903-497-8623</t>
  </si>
  <si>
    <t>YR565337D</t>
  </si>
  <si>
    <t>1199 Lightning Point Drive</t>
  </si>
  <si>
    <t>Black Hawk</t>
  </si>
  <si>
    <t>SD</t>
  </si>
  <si>
    <t>Emma.V.Perez@spambob.com</t>
  </si>
  <si>
    <t>612-990-4487</t>
  </si>
  <si>
    <t>3923 Black Stallion Road</t>
  </si>
  <si>
    <t>Blaxland East</t>
  </si>
  <si>
    <t>Reynaldo.J.Myers@pookmail.com</t>
  </si>
  <si>
    <t>(02) 6753 9404</t>
  </si>
  <si>
    <t>4374 Lindale Avenue</t>
  </si>
  <si>
    <t>Bloomington</t>
  </si>
  <si>
    <t>Jennifer.D.Becker@spambob.com</t>
  </si>
  <si>
    <t>803-223-5484</t>
  </si>
  <si>
    <t>555 DaVISAA Avenue</t>
  </si>
  <si>
    <t>2805 DaVISAA Avenue</t>
  </si>
  <si>
    <t>Gender_Code</t>
  </si>
  <si>
    <t>Akron</t>
  </si>
  <si>
    <t>JCB</t>
  </si>
  <si>
    <t>Cust_Name</t>
  </si>
  <si>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</si>
  <si>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</si>
  <si>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</si>
  <si>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</si>
  <si>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</si>
  <si>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</si>
  <si>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</si>
  <si>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</si>
  <si>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</si>
  <si>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</si>
  <si>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</si>
  <si>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</si>
  <si>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</si>
  <si>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</si>
  <si>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</si>
  <si>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</si>
  <si>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</si>
  <si>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</si>
  <si>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</si>
  <si>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</si>
  <si>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</si>
  <si>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</si>
  <si>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</si>
  <si>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</si>
  <si>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</si>
  <si>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</si>
  <si>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</si>
  <si>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</si>
  <si>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</si>
  <si>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</si>
  <si>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</si>
  <si>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Wash</t>
  </si>
  <si>
    <t>GEN_Y</t>
  </si>
  <si>
    <t>GEN_Z</t>
  </si>
  <si>
    <t>BABY_BOOMERS</t>
  </si>
  <si>
    <t>GEN_X</t>
  </si>
  <si>
    <t>complete</t>
  </si>
  <si>
    <t>abandoned</t>
  </si>
  <si>
    <t>cancelled</t>
  </si>
  <si>
    <t>in-progress</t>
  </si>
  <si>
    <t xml:space="preserve">Allen Perl     </t>
  </si>
  <si>
    <t>4707  Hillcrest Lane</t>
  </si>
  <si>
    <t xml:space="preserve">Anthony Whitney   </t>
  </si>
  <si>
    <t>518 Highland  View   Drive</t>
  </si>
  <si>
    <t xml:space="preserve">Thomas Owens    </t>
  </si>
  <si>
    <t xml:space="preserve">Anthony Carr    </t>
  </si>
  <si>
    <t xml:space="preserve">Melvin Schmitz   </t>
  </si>
  <si>
    <t xml:space="preserve">John Hoffman    </t>
  </si>
  <si>
    <t xml:space="preserve">Muriel Exley    </t>
  </si>
  <si>
    <t xml:space="preserve">James Moyle     </t>
  </si>
  <si>
    <t xml:space="preserve">Calvin Shupe    </t>
  </si>
  <si>
    <t xml:space="preserve">Alfonso Frazier   </t>
  </si>
  <si>
    <t xml:space="preserve">Reda Fullilove   </t>
  </si>
  <si>
    <t xml:space="preserve">Cecil Games     </t>
  </si>
  <si>
    <t xml:space="preserve">Edward Turner    </t>
  </si>
  <si>
    <t xml:space="preserve">Amy Randle     </t>
  </si>
  <si>
    <t xml:space="preserve">Rafael Middleton  </t>
  </si>
  <si>
    <t xml:space="preserve">Earl Bruner     </t>
  </si>
  <si>
    <t xml:space="preserve">Linda Garcia    </t>
  </si>
  <si>
    <t xml:space="preserve">Quinn Perry     </t>
  </si>
  <si>
    <t xml:space="preserve">Kristin Mendoza   </t>
  </si>
  <si>
    <t xml:space="preserve">Michael Gordon   </t>
  </si>
  <si>
    <t xml:space="preserve">Phyllis White    </t>
  </si>
  <si>
    <t xml:space="preserve">Katherine Mullins  </t>
  </si>
  <si>
    <t xml:space="preserve">Lisa Guest     </t>
  </si>
  <si>
    <t xml:space="preserve">Scott Lawson    </t>
  </si>
  <si>
    <t xml:space="preserve">Robert Bilbo    </t>
  </si>
  <si>
    <t xml:space="preserve">Ahmed Richard    </t>
  </si>
  <si>
    <t xml:space="preserve">Ray Hornsby     </t>
  </si>
  <si>
    <t xml:space="preserve">Jason Glass     </t>
  </si>
  <si>
    <t xml:space="preserve">Natalie White    </t>
  </si>
  <si>
    <t xml:space="preserve">Donna Klock     </t>
  </si>
  <si>
    <t xml:space="preserve">Donald Velazquez  </t>
  </si>
  <si>
    <t xml:space="preserve">Harry Brumback   </t>
  </si>
  <si>
    <t xml:space="preserve">Harold Magee    </t>
  </si>
  <si>
    <t xml:space="preserve"> 565 Cinnamon Lane</t>
  </si>
  <si>
    <t xml:space="preserve">Melba Whitehead   </t>
  </si>
  <si>
    <t xml:space="preserve">Ivan Case      </t>
  </si>
  <si>
    <t xml:space="preserve">Bob Davenport    </t>
  </si>
  <si>
    <t xml:space="preserve">Jennifer Howard   </t>
  </si>
  <si>
    <t xml:space="preserve">Jana Hall      </t>
  </si>
  <si>
    <t xml:space="preserve">Arlene Cruz     </t>
  </si>
  <si>
    <t xml:space="preserve">Mildred Carey    </t>
  </si>
  <si>
    <t xml:space="preserve">Yasmin Cole     </t>
  </si>
  <si>
    <t xml:space="preserve">Jodi Bugg      </t>
  </si>
  <si>
    <t xml:space="preserve">Henry Williams   </t>
  </si>
  <si>
    <t xml:space="preserve">Allen Rice     </t>
  </si>
  <si>
    <t xml:space="preserve">Bradford Claassen  </t>
  </si>
  <si>
    <t xml:space="preserve">Elizabeth Turner  </t>
  </si>
  <si>
    <t xml:space="preserve">Dwight Armenta   </t>
  </si>
  <si>
    <t xml:space="preserve">Michael Pritchard  </t>
  </si>
  <si>
    <t xml:space="preserve">Elizabeth Martinez </t>
  </si>
  <si>
    <t xml:space="preserve">Mary Bates     </t>
  </si>
  <si>
    <t xml:space="preserve">Mandy Fernandez   </t>
  </si>
  <si>
    <t xml:space="preserve">Megan Mauro     </t>
  </si>
  <si>
    <t xml:space="preserve">John Riley     </t>
  </si>
  <si>
    <t xml:space="preserve">Felix Myers     </t>
  </si>
  <si>
    <t xml:space="preserve">Frank Westra    </t>
  </si>
  <si>
    <t xml:space="preserve">Jack Owens     </t>
  </si>
  <si>
    <t xml:space="preserve">Therese Pickering  </t>
  </si>
  <si>
    <t xml:space="preserve">Robert Ojeda    </t>
  </si>
  <si>
    <t xml:space="preserve">Thomas Farris    </t>
  </si>
  <si>
    <t xml:space="preserve">Joseph Shafer    </t>
  </si>
  <si>
    <t xml:space="preserve">Hoyt Ramos     </t>
  </si>
  <si>
    <t xml:space="preserve">Jodi Stanley    </t>
  </si>
  <si>
    <t xml:space="preserve">Betty Grimes    </t>
  </si>
  <si>
    <t xml:space="preserve">Tony Brooks     </t>
  </si>
  <si>
    <t xml:space="preserve">Michael Reed    </t>
  </si>
  <si>
    <t xml:space="preserve">Rosemary Herbert  </t>
  </si>
  <si>
    <t xml:space="preserve">Judy Larkin     </t>
  </si>
  <si>
    <t xml:space="preserve">Judy Hopping    </t>
  </si>
  <si>
    <t xml:space="preserve">Joseph Rogers    </t>
  </si>
  <si>
    <t xml:space="preserve">James Sales     </t>
  </si>
  <si>
    <t xml:space="preserve">Charles Pickett   </t>
  </si>
  <si>
    <t xml:space="preserve">Margaret Shelton  </t>
  </si>
  <si>
    <t xml:space="preserve">Rebecca Uresti   </t>
  </si>
  <si>
    <t xml:space="preserve">Emma Perez     </t>
  </si>
  <si>
    <t xml:space="preserve">Reynaldo Myers   </t>
  </si>
  <si>
    <t xml:space="preserve">Jennifer Becker   </t>
  </si>
  <si>
    <t>Complete?</t>
  </si>
  <si>
    <t xml:space="preserve">Order Size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</si>
</sst>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mmmm\ d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95"/>
  <sheetViews>
    <sheetView tabSelected="1" topLeftCell="Z1" workbookViewId="0">
      <selection activeCell="AD16" sqref="AD16"/>
    </sheetView>
  </sheetViews>
  <sheetFormatPr defaultColWidth="8.77734375" defaultRowHeight="14.4" x14ac:dyDescent="0.3"/>
  <cols>
    <col min="1" max="1" width="17.88671875" bestFit="1" customWidth="1"/>
    <col min="2" max="2" width="12.109375" bestFit="1" customWidth="1"/>
    <col min="3" max="3" width="24.44140625" bestFit="1" customWidth="1"/>
    <col min="4" max="4" width="20.6640625" bestFit="1" customWidth="1"/>
    <col min="5" max="5" width="6" bestFit="1" customWidth="1"/>
    <col min="6" max="6" width="15" bestFit="1" customWidth="1"/>
    <col min="7" max="7" width="12.88671875" bestFit="1" customWidth="1"/>
    <col min="8" max="8" width="21.44140625" bestFit="1" customWidth="1"/>
    <col min="9" max="9" width="11.6640625" bestFit="1" customWidth="1"/>
    <col min="10" max="10" width="32.6640625" bestFit="1" customWidth="1"/>
    <col min="11" max="11" width="17.77734375" bestFit="1" customWidth="1"/>
    <col min="12" max="12" width="18.88671875" bestFit="1" customWidth="1"/>
    <col min="13" max="13" width="11.109375" bestFit="1" customWidth="1"/>
    <col min="14" max="14" width="14.88671875" bestFit="1" customWidth="1"/>
    <col min="15" max="15" width="14.44140625" bestFit="1" customWidth="1"/>
    <col min="16" max="16" width="20.109375" bestFit="1" customWidth="1"/>
    <col min="17" max="17" width="22.5546875" bestFit="1" customWidth="1"/>
    <col min="18" max="18" width="17.21875" bestFit="1" customWidth="1"/>
    <col min="19" max="19" width="10.33203125" bestFit="1" customWidth="1"/>
    <col min="20" max="20" width="11.77734375" bestFit="1" customWidth="1"/>
    <col min="21" max="21" width="14.33203125" bestFit="1" customWidth="1"/>
    <col min="22" max="22" width="14.21875" bestFit="1" customWidth="1"/>
    <col min="23" max="24" width="19" bestFit="1" customWidth="1"/>
    <col min="25" max="25" width="22" bestFit="1" customWidth="1"/>
    <col min="26" max="26" width="19.109375" style="1" bestFit="1" customWidth="1"/>
    <col min="27" max="27" width="6.5546875" bestFit="1" customWidth="1"/>
    <col min="28" max="28" width="15.5546875" bestFit="1" customWidth="1"/>
    <col min="29" max="30" width="15.5546875" customWidth="1"/>
    <col min="31" max="31" width="24.5546875" bestFit="1" customWidth="1"/>
    <col min="32" max="32" width="19.44140625" bestFit="1" customWidth="1"/>
    <col min="33" max="33" width="19.44140625" customWidth="1"/>
    <col min="34" max="34" width="14" bestFit="1" customWidth="1"/>
    <col min="35" max="35" width="14" customWidth="1"/>
    <col min="36" max="36" width="11.77734375" bestFit="1" customWidth="1"/>
    <col min="37" max="37" width="9.33203125" bestFit="1" customWidth="1"/>
    <col min="38" max="38" width="9.88671875" bestFit="1" customWidth="1"/>
    <col min="39" max="39" width="8.44140625" bestFit="1" customWidth="1"/>
    <col min="40" max="40" width="11.88671875" bestFit="1" customWidth="1"/>
    <col min="41" max="41" width="8.21875" bestFit="1" customWidth="1"/>
    <col min="42" max="42" width="12.44140625" bestFit="1" customWidth="1"/>
    <col min="43" max="43" width="17" bestFit="1" customWidth="1"/>
    <col min="44" max="44" width="7" bestFit="1" customWidth="1"/>
    <col min="45" max="45" width="7.44140625" bestFit="1" customWidth="1"/>
    <col min="46" max="46" width="11.21875" bestFit="1" customWidth="1"/>
    <col min="47" max="47" width="13" bestFit="1" customWidth="1"/>
    <col min="48" max="48" width="7.5546875" bestFit="1" customWidth="1"/>
    <col min="49" max="49" width="10" bestFit="1" customWidth="1"/>
    <col min="50" max="50" width="10.21875" bestFit="1" customWidth="1"/>
    <col min="51" max="51" width="11.44140625" bestFit="1" customWidth="1"/>
    <col min="52" max="52" width="14.6640625" bestFit="1" customWidth="1"/>
    <col min="53" max="53" width="11.44140625" bestFit="1" customWidth="1"/>
    <col min="54" max="54" width="9.109375" bestFit="1" customWidth="1"/>
    <col min="55" max="55" width="17.77734375" bestFit="1" customWidth="1"/>
    <col min="56" max="56" width="12.88671875" bestFit="1" customWidth="1"/>
    <col min="57" max="57" width="14" bestFit="1" customWidth="1"/>
    <col min="58" max="58" width="14.21875" bestFit="1" customWidth="1"/>
    <col min="59" max="59" width="7.5546875" bestFit="1" customWidth="1"/>
    <col min="60" max="60" width="15.33203125" bestFit="1" customWidth="1"/>
    <col min="61" max="61" width="14.44140625" bestFit="1" customWidth="1"/>
    <col min="62" max="62" width="12.88671875" bestFit="1" customWidth="1"/>
    <col min="63" max="63" width="10.6640625" bestFit="1" customWidth="1"/>
    <col min="64" max="64" width="8.21875" bestFit="1" customWidth="1"/>
  </cols>
  <sheetData>
    <row r="1" spans="1:64" x14ac:dyDescent="0.3">
      <c r="A1" t="s">
        <v>538</v>
      </c>
      <c r="B1" t="s">
        <v>535</v>
      </c>
      <c r="C1" t="s">
        <v>539</v>
      </c>
      <c r="D1" t="s">
        <v>540</v>
      </c>
      <c r="E1" t="s">
        <v>541</v>
      </c>
      <c r="F1" t="s">
        <v>542</v>
      </c>
      <c r="G1" t="s">
        <v>543</v>
      </c>
      <c r="H1" t="s">
        <v>544</v>
      </c>
      <c r="I1" t="s">
        <v>545</v>
      </c>
      <c r="J1" t="s">
        <v>546</v>
      </c>
      <c r="K1" t="s">
        <v>547</v>
      </c>
      <c r="L1" t="s">
        <v>548</v>
      </c>
      <c r="M1" t="s">
        <v>549</v>
      </c>
      <c r="N1" t="s">
        <v>550</v>
      </c>
      <c r="O1" t="s">
        <v>551</v>
      </c>
      <c r="P1" t="s">
        <v>552</v>
      </c>
      <c r="Q1" t="s">
        <v>553</v>
      </c>
      <c r="R1" t="s">
        <v>554</v>
      </c>
      <c r="S1" t="s">
        <v>555</v>
      </c>
      <c r="T1" t="s">
        <v>556</v>
      </c>
      <c r="U1" t="s">
        <v>557</v>
      </c>
      <c r="V1" t="s">
        <v>558</v>
      </c>
      <c r="W1" t="s">
        <v>559</v>
      </c>
      <c r="X1" t="s">
        <v>560</v>
      </c>
      <c r="Y1" t="s">
        <v>561</v>
      </c>
      <c r="Z1" t="s">
        <v>562</v>
      </c>
      <c r="AA1" t="s">
        <v>563</v>
      </c>
      <c r="AB1" t="s">
        <v>564</v>
      </c>
      <c r="AC1" t="s">
        <v>659</v>
      </c>
      <c r="AD1" t="s">
        <v>565</v>
      </c>
      <c r="AE1" t="s">
        <v>566</v>
      </c>
      <c r="AF1" t="s">
        <v>567</v>
      </c>
      <c r="AG1" t="s">
        <v>658</v>
      </c>
      <c r="AH1" t="s">
        <v>568</v>
      </c>
      <c r="AI1" t="s">
        <v>569</v>
      </c>
      <c r="AJ1" t="s">
        <v>0</v>
      </c>
      <c r="AK1" t="s">
        <v>1</v>
      </c>
      <c r="AL1" t="s">
        <v>2</v>
      </c>
      <c r="AM1" t="s">
        <v>3</v>
      </c>
      <c r="AN1" t="s">
        <v>570</v>
      </c>
      <c r="AO1" t="s">
        <v>4</v>
      </c>
      <c r="AP1" t="s">
        <v>5</v>
      </c>
      <c r="AQ1" t="s">
        <v>6</v>
      </c>
      <c r="AR1" t="s">
        <v>7</v>
      </c>
      <c r="AS1" t="s">
        <v>8</v>
      </c>
      <c r="AT1" t="s">
        <v>9</v>
      </c>
      <c r="AU1" t="s">
        <v>10</v>
      </c>
      <c r="AV1" t="s">
        <v>11</v>
      </c>
      <c r="AW1" t="s">
        <v>12</v>
      </c>
      <c r="AX1" t="s">
        <v>13</v>
      </c>
      <c r="AY1" t="s">
        <v>14</v>
      </c>
      <c r="AZ1" t="s">
        <v>15</v>
      </c>
      <c r="BA1" t="s">
        <v>16</v>
      </c>
      <c r="BB1" t="s">
        <v>17</v>
      </c>
      <c r="BC1" t="s">
        <v>18</v>
      </c>
      <c r="BD1" t="s">
        <v>19</v>
      </c>
      <c r="BE1" t="s">
        <v>20</v>
      </c>
      <c r="BF1" t="s">
        <v>21</v>
      </c>
      <c r="BG1" t="s">
        <v>22</v>
      </c>
      <c r="BH1" t="s">
        <v>23</v>
      </c>
      <c r="BI1" t="s">
        <v>24</v>
      </c>
      <c r="BJ1" t="s">
        <v>25</v>
      </c>
      <c r="BK1" t="s">
        <v>26</v>
      </c>
      <c r="BL1" t="s">
        <v>27</v>
      </c>
    </row>
    <row r="2" spans="1:64" x14ac:dyDescent="0.3">
      <c r="A2" t="s">
        <v>579</v>
      </c>
      <c r="B2" t="s">
        <v>28</v>
      </c>
      <c r="C2" t="s">
        <v>580</v>
      </c>
      <c r="D2" t="s">
        <v>29</v>
      </c>
      <c r="E2" t="s">
        <v>30</v>
      </c>
      <c r="F2" t="s">
        <v>31</v>
      </c>
      <c r="G2">
        <v>6040</v>
      </c>
      <c r="H2">
        <v>0</v>
      </c>
      <c r="J2" t="s">
        <v>32</v>
      </c>
      <c r="K2" t="s">
        <v>33</v>
      </c>
      <c r="L2" t="s">
        <v>34</v>
      </c>
      <c r="N2" t="s">
        <v>35</v>
      </c>
      <c r="O2" t="s">
        <v>36</v>
      </c>
      <c r="P2">
        <v>22867928</v>
      </c>
      <c r="Q2">
        <v>5121840000000000</v>
      </c>
      <c r="S2">
        <v>10003</v>
      </c>
      <c r="T2">
        <v>9107</v>
      </c>
      <c r="U2">
        <v>0</v>
      </c>
      <c r="V2">
        <v>5.2824074074074067E-3</v>
      </c>
      <c r="W2">
        <v>22.77</v>
      </c>
      <c r="X2" t="s">
        <v>47</v>
      </c>
      <c r="Y2">
        <v>0</v>
      </c>
      <c r="Z2">
        <v>42372</v>
      </c>
      <c r="AA2">
        <v>27</v>
      </c>
      <c r="AB2">
        <v>24.18</v>
      </c>
      <c r="AC2" t="str">
        <f>IF(AB2&gt;300,"Large",IF(AB2&gt;100,"Medium", IF(AB2&gt;0,"Small")))</f>
        <v>Small</v>
      </c>
      <c r="AD2" t="s">
        <v>575</v>
      </c>
      <c r="AE2" t="s">
        <v>38</v>
      </c>
      <c r="AF2" t="s">
        <v>39</v>
      </c>
      <c r="AG2" t="str">
        <f>IF(AD2="complete","yes","no")</f>
        <v>yes</v>
      </c>
      <c r="AH2" t="s">
        <v>44</v>
      </c>
      <c r="AI2" t="s">
        <v>571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 x14ac:dyDescent="0.3">
      <c r="A3" t="s">
        <v>595</v>
      </c>
      <c r="B3" t="s">
        <v>28</v>
      </c>
      <c r="C3" t="s">
        <v>169</v>
      </c>
      <c r="D3" t="s">
        <v>170</v>
      </c>
      <c r="E3" t="s">
        <v>171</v>
      </c>
      <c r="F3" t="s">
        <v>92</v>
      </c>
      <c r="G3">
        <v>20222</v>
      </c>
      <c r="H3">
        <v>0</v>
      </c>
      <c r="J3" t="s">
        <v>172</v>
      </c>
      <c r="K3" t="s">
        <v>173</v>
      </c>
      <c r="L3" t="s">
        <v>537</v>
      </c>
      <c r="N3" t="s">
        <v>174</v>
      </c>
      <c r="O3" t="s">
        <v>36</v>
      </c>
      <c r="P3">
        <v>530990002</v>
      </c>
      <c r="Q3">
        <v>3528160000000000</v>
      </c>
      <c r="S3">
        <v>10075</v>
      </c>
      <c r="T3">
        <v>9068</v>
      </c>
      <c r="U3">
        <v>0</v>
      </c>
      <c r="V3">
        <v>5.2824074074074067E-3</v>
      </c>
      <c r="W3">
        <v>16.27</v>
      </c>
      <c r="X3" t="s">
        <v>47</v>
      </c>
      <c r="Y3">
        <v>0</v>
      </c>
      <c r="Z3">
        <v>42372</v>
      </c>
      <c r="AA3">
        <v>73</v>
      </c>
      <c r="AB3">
        <v>179.38</v>
      </c>
      <c r="AC3" t="str">
        <f t="shared" ref="AC3:AC66" si="0">IF(AB3&gt;300,"Large",IF(AB3&gt;100,"Medium", IF(AB3&gt;0,"Small")))</f>
        <v>Medium</v>
      </c>
      <c r="AD3" t="s">
        <v>575</v>
      </c>
      <c r="AE3" t="s">
        <v>43</v>
      </c>
      <c r="AF3" t="s">
        <v>39</v>
      </c>
      <c r="AG3" t="str">
        <f t="shared" ref="AG3:AG66" si="1">IF(AD3="complete","yes","no")</f>
        <v>yes</v>
      </c>
      <c r="AH3" t="s">
        <v>58</v>
      </c>
      <c r="AI3" t="s">
        <v>573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</row>
    <row r="4" spans="1:64" x14ac:dyDescent="0.3">
      <c r="A4" t="s">
        <v>599</v>
      </c>
      <c r="B4" t="s">
        <v>99</v>
      </c>
      <c r="C4" t="s">
        <v>203</v>
      </c>
      <c r="D4" t="s">
        <v>204</v>
      </c>
      <c r="E4" t="s">
        <v>179</v>
      </c>
      <c r="F4" t="s">
        <v>92</v>
      </c>
      <c r="G4">
        <v>92805</v>
      </c>
      <c r="H4">
        <v>0</v>
      </c>
      <c r="J4" t="s">
        <v>205</v>
      </c>
      <c r="K4" t="s">
        <v>206</v>
      </c>
      <c r="L4" t="s">
        <v>141</v>
      </c>
      <c r="N4" t="s">
        <v>159</v>
      </c>
      <c r="O4" t="s">
        <v>64</v>
      </c>
      <c r="P4">
        <v>700000000000000</v>
      </c>
      <c r="Q4">
        <v>36522500000000</v>
      </c>
      <c r="S4">
        <v>10095</v>
      </c>
      <c r="T4">
        <v>6009</v>
      </c>
      <c r="U4">
        <v>0</v>
      </c>
      <c r="V4">
        <v>5.2824074074074067E-3</v>
      </c>
      <c r="W4">
        <v>18.989999999999998</v>
      </c>
      <c r="X4" t="s">
        <v>47</v>
      </c>
      <c r="Y4">
        <v>0</v>
      </c>
      <c r="Z4">
        <v>42372</v>
      </c>
      <c r="AA4" t="s">
        <v>207</v>
      </c>
      <c r="AB4">
        <v>97.72</v>
      </c>
      <c r="AC4" t="str">
        <f t="shared" si="0"/>
        <v>Small</v>
      </c>
      <c r="AD4" t="s">
        <v>575</v>
      </c>
      <c r="AE4" t="s">
        <v>38</v>
      </c>
      <c r="AF4" t="s">
        <v>39</v>
      </c>
      <c r="AG4" t="str">
        <f t="shared" si="1"/>
        <v>yes</v>
      </c>
      <c r="AH4" t="s">
        <v>40</v>
      </c>
      <c r="AI4" t="s">
        <v>572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</row>
    <row r="5" spans="1:64" x14ac:dyDescent="0.3">
      <c r="A5" t="s">
        <v>630</v>
      </c>
      <c r="B5" t="s">
        <v>99</v>
      </c>
      <c r="C5" t="s">
        <v>394</v>
      </c>
      <c r="D5" t="s">
        <v>395</v>
      </c>
      <c r="E5" t="s">
        <v>171</v>
      </c>
      <c r="F5" t="s">
        <v>92</v>
      </c>
      <c r="G5">
        <v>21202</v>
      </c>
      <c r="H5">
        <v>0</v>
      </c>
      <c r="J5" t="s">
        <v>396</v>
      </c>
      <c r="K5" t="s">
        <v>397</v>
      </c>
      <c r="L5" t="s">
        <v>141</v>
      </c>
      <c r="N5" t="s">
        <v>254</v>
      </c>
      <c r="O5" t="s">
        <v>31</v>
      </c>
      <c r="P5" t="s">
        <v>398</v>
      </c>
      <c r="Q5">
        <v>36165000000000</v>
      </c>
      <c r="S5">
        <v>10231</v>
      </c>
      <c r="T5">
        <v>569</v>
      </c>
      <c r="U5">
        <v>0</v>
      </c>
      <c r="V5">
        <v>5.2824074074074067E-3</v>
      </c>
      <c r="W5">
        <v>7.12</v>
      </c>
      <c r="X5" t="s">
        <v>47</v>
      </c>
      <c r="Y5">
        <v>0</v>
      </c>
      <c r="Z5">
        <v>42372</v>
      </c>
      <c r="AA5">
        <v>73</v>
      </c>
      <c r="AB5">
        <v>250.36</v>
      </c>
      <c r="AC5" t="str">
        <f t="shared" si="0"/>
        <v>Medium</v>
      </c>
      <c r="AD5" t="s">
        <v>575</v>
      </c>
      <c r="AE5" t="s">
        <v>43</v>
      </c>
      <c r="AF5" t="s">
        <v>39</v>
      </c>
      <c r="AG5" t="str">
        <f t="shared" si="1"/>
        <v>yes</v>
      </c>
      <c r="AH5" t="s">
        <v>58</v>
      </c>
      <c r="AI5" t="s">
        <v>573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</row>
    <row r="6" spans="1:64" x14ac:dyDescent="0.3">
      <c r="A6" t="s">
        <v>579</v>
      </c>
      <c r="B6" t="s">
        <v>28</v>
      </c>
      <c r="C6" t="s">
        <v>580</v>
      </c>
      <c r="D6" t="s">
        <v>29</v>
      </c>
      <c r="E6" t="s">
        <v>30</v>
      </c>
      <c r="F6" t="s">
        <v>31</v>
      </c>
      <c r="G6">
        <v>6040</v>
      </c>
      <c r="H6">
        <v>0</v>
      </c>
      <c r="J6" t="s">
        <v>32</v>
      </c>
      <c r="K6" t="s">
        <v>33</v>
      </c>
      <c r="L6" t="s">
        <v>34</v>
      </c>
      <c r="N6" t="s">
        <v>35</v>
      </c>
      <c r="O6" t="s">
        <v>36</v>
      </c>
      <c r="P6">
        <v>22867928</v>
      </c>
      <c r="Q6">
        <v>5139430000000000</v>
      </c>
      <c r="S6">
        <v>10003</v>
      </c>
      <c r="T6">
        <v>7973</v>
      </c>
      <c r="U6">
        <v>0</v>
      </c>
      <c r="V6">
        <v>5.2824074074074067E-3</v>
      </c>
      <c r="W6">
        <v>23.12</v>
      </c>
      <c r="X6" t="s">
        <v>46</v>
      </c>
      <c r="Y6">
        <v>0</v>
      </c>
      <c r="Z6">
        <v>42373</v>
      </c>
      <c r="AA6">
        <v>27</v>
      </c>
      <c r="AB6">
        <v>44.43</v>
      </c>
      <c r="AC6" t="str">
        <f t="shared" si="0"/>
        <v>Small</v>
      </c>
      <c r="AD6" t="s">
        <v>575</v>
      </c>
      <c r="AE6" t="s">
        <v>38</v>
      </c>
      <c r="AF6" t="s">
        <v>39</v>
      </c>
      <c r="AG6" t="str">
        <f t="shared" si="1"/>
        <v>yes</v>
      </c>
      <c r="AH6" t="s">
        <v>44</v>
      </c>
      <c r="AI6" t="s">
        <v>571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 x14ac:dyDescent="0.3">
      <c r="A7" t="s">
        <v>607</v>
      </c>
      <c r="B7" t="s">
        <v>28</v>
      </c>
      <c r="C7" t="s">
        <v>533</v>
      </c>
      <c r="D7" t="s">
        <v>260</v>
      </c>
      <c r="F7" t="s">
        <v>72</v>
      </c>
      <c r="G7">
        <v>29753</v>
      </c>
      <c r="H7">
        <v>0</v>
      </c>
      <c r="J7" t="s">
        <v>261</v>
      </c>
      <c r="K7" t="s">
        <v>262</v>
      </c>
      <c r="L7" t="s">
        <v>52</v>
      </c>
      <c r="N7" t="s">
        <v>123</v>
      </c>
      <c r="O7" t="s">
        <v>31</v>
      </c>
      <c r="P7" t="s">
        <v>263</v>
      </c>
      <c r="Q7">
        <v>4839450000000000</v>
      </c>
      <c r="S7">
        <v>10127</v>
      </c>
      <c r="T7">
        <v>3665</v>
      </c>
      <c r="U7">
        <v>0</v>
      </c>
      <c r="V7">
        <v>5.2824074074074067E-3</v>
      </c>
      <c r="W7">
        <v>8.99</v>
      </c>
      <c r="X7" t="s">
        <v>46</v>
      </c>
      <c r="Y7">
        <v>0</v>
      </c>
      <c r="Z7">
        <v>42373</v>
      </c>
      <c r="AA7">
        <v>49</v>
      </c>
      <c r="AB7">
        <v>17.29</v>
      </c>
      <c r="AC7" t="str">
        <f t="shared" si="0"/>
        <v>Small</v>
      </c>
      <c r="AD7" t="s">
        <v>575</v>
      </c>
      <c r="AE7" t="s">
        <v>38</v>
      </c>
      <c r="AF7" t="s">
        <v>66</v>
      </c>
      <c r="AG7" t="str">
        <f t="shared" si="1"/>
        <v>yes</v>
      </c>
      <c r="AH7" t="s">
        <v>44</v>
      </c>
      <c r="AI7" t="s">
        <v>574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 x14ac:dyDescent="0.3">
      <c r="A8" t="s">
        <v>638</v>
      </c>
      <c r="B8" t="s">
        <v>99</v>
      </c>
      <c r="C8" t="s">
        <v>433</v>
      </c>
      <c r="D8" t="s">
        <v>434</v>
      </c>
      <c r="E8" t="s">
        <v>435</v>
      </c>
      <c r="F8" t="s">
        <v>92</v>
      </c>
      <c r="G8">
        <v>58622</v>
      </c>
      <c r="H8">
        <v>0</v>
      </c>
      <c r="J8" t="s">
        <v>436</v>
      </c>
      <c r="K8" t="s">
        <v>437</v>
      </c>
      <c r="L8" t="s">
        <v>95</v>
      </c>
      <c r="N8" t="s">
        <v>438</v>
      </c>
      <c r="O8" t="s">
        <v>64</v>
      </c>
      <c r="P8">
        <v>215000000000000</v>
      </c>
      <c r="Q8">
        <v>375702000000000</v>
      </c>
      <c r="S8">
        <v>10271</v>
      </c>
      <c r="T8">
        <v>9180</v>
      </c>
      <c r="U8">
        <v>0</v>
      </c>
      <c r="V8">
        <v>5.2824074074074067E-3</v>
      </c>
      <c r="W8">
        <v>43.89</v>
      </c>
      <c r="X8" t="s">
        <v>46</v>
      </c>
      <c r="Y8">
        <v>0</v>
      </c>
      <c r="Z8">
        <v>42373</v>
      </c>
      <c r="AA8">
        <v>31</v>
      </c>
      <c r="AB8">
        <v>14.6</v>
      </c>
      <c r="AC8" t="str">
        <f t="shared" si="0"/>
        <v>Small</v>
      </c>
      <c r="AD8" t="s">
        <v>577</v>
      </c>
      <c r="AE8" t="s">
        <v>38</v>
      </c>
      <c r="AF8" t="s">
        <v>66</v>
      </c>
      <c r="AG8" t="str">
        <f t="shared" si="1"/>
        <v>no</v>
      </c>
      <c r="AH8" t="s">
        <v>44</v>
      </c>
      <c r="AI8" t="s">
        <v>571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 x14ac:dyDescent="0.3">
      <c r="A9" t="s">
        <v>590</v>
      </c>
      <c r="B9" t="s">
        <v>28</v>
      </c>
      <c r="C9" t="s">
        <v>124</v>
      </c>
      <c r="D9" t="s">
        <v>125</v>
      </c>
      <c r="E9" t="s">
        <v>126</v>
      </c>
      <c r="F9" t="s">
        <v>92</v>
      </c>
      <c r="G9">
        <v>87109</v>
      </c>
      <c r="H9">
        <v>0</v>
      </c>
      <c r="J9" t="s">
        <v>127</v>
      </c>
      <c r="K9" t="s">
        <v>128</v>
      </c>
      <c r="L9" t="s">
        <v>95</v>
      </c>
      <c r="N9" t="s">
        <v>129</v>
      </c>
      <c r="O9" t="s">
        <v>64</v>
      </c>
      <c r="P9">
        <v>176000000000000</v>
      </c>
      <c r="Q9">
        <v>345077000000000</v>
      </c>
      <c r="S9">
        <v>10051</v>
      </c>
      <c r="T9">
        <v>5312</v>
      </c>
      <c r="U9">
        <v>0</v>
      </c>
      <c r="V9">
        <v>5.2824074074074067E-3</v>
      </c>
      <c r="W9">
        <v>17.600000000000001</v>
      </c>
      <c r="X9" t="s">
        <v>133</v>
      </c>
      <c r="Y9">
        <v>0</v>
      </c>
      <c r="Z9">
        <v>42376</v>
      </c>
      <c r="AA9">
        <v>47</v>
      </c>
      <c r="AB9">
        <v>27.45</v>
      </c>
      <c r="AC9" t="str">
        <f t="shared" si="0"/>
        <v>Small</v>
      </c>
      <c r="AD9" t="s">
        <v>575</v>
      </c>
      <c r="AE9" t="s">
        <v>38</v>
      </c>
      <c r="AF9" t="s">
        <v>66</v>
      </c>
      <c r="AG9" t="str">
        <f t="shared" si="1"/>
        <v>yes</v>
      </c>
      <c r="AH9" t="s">
        <v>44</v>
      </c>
      <c r="AI9" t="s">
        <v>574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1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 x14ac:dyDescent="0.3">
      <c r="A10" t="s">
        <v>586</v>
      </c>
      <c r="B10" t="s">
        <v>28</v>
      </c>
      <c r="C10" t="s">
        <v>90</v>
      </c>
      <c r="D10" t="s">
        <v>536</v>
      </c>
      <c r="E10" t="s">
        <v>91</v>
      </c>
      <c r="F10" t="s">
        <v>92</v>
      </c>
      <c r="G10">
        <v>44311</v>
      </c>
      <c r="H10">
        <v>0</v>
      </c>
      <c r="J10" t="s">
        <v>93</v>
      </c>
      <c r="K10" t="s">
        <v>94</v>
      </c>
      <c r="L10" t="s">
        <v>95</v>
      </c>
      <c r="N10" t="s">
        <v>96</v>
      </c>
      <c r="O10" t="s">
        <v>31</v>
      </c>
      <c r="P10" t="s">
        <v>97</v>
      </c>
      <c r="Q10">
        <v>377308000000000</v>
      </c>
      <c r="S10">
        <v>10031</v>
      </c>
      <c r="T10">
        <v>1369</v>
      </c>
      <c r="U10">
        <v>0</v>
      </c>
      <c r="V10">
        <v>2.2810185185185183E-2</v>
      </c>
      <c r="W10">
        <v>21.97</v>
      </c>
      <c r="X10" t="s">
        <v>98</v>
      </c>
      <c r="Y10">
        <v>0</v>
      </c>
      <c r="Z10">
        <v>42384</v>
      </c>
      <c r="AA10">
        <v>46</v>
      </c>
      <c r="AB10">
        <v>24.66</v>
      </c>
      <c r="AC10" t="str">
        <f t="shared" si="0"/>
        <v>Small</v>
      </c>
      <c r="AD10" t="s">
        <v>575</v>
      </c>
      <c r="AE10" t="s">
        <v>38</v>
      </c>
      <c r="AF10" t="s">
        <v>66</v>
      </c>
      <c r="AG10" t="str">
        <f t="shared" si="1"/>
        <v>yes</v>
      </c>
      <c r="AH10" t="s">
        <v>44</v>
      </c>
      <c r="AI10" t="s">
        <v>574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 x14ac:dyDescent="0.3">
      <c r="A11" t="s">
        <v>606</v>
      </c>
      <c r="B11" t="s">
        <v>28</v>
      </c>
      <c r="C11" t="s">
        <v>255</v>
      </c>
      <c r="D11" t="s">
        <v>256</v>
      </c>
      <c r="E11" t="s">
        <v>240</v>
      </c>
      <c r="F11" t="s">
        <v>92</v>
      </c>
      <c r="G11">
        <v>54911</v>
      </c>
      <c r="H11">
        <v>0</v>
      </c>
      <c r="J11" t="s">
        <v>257</v>
      </c>
      <c r="K11" t="s">
        <v>258</v>
      </c>
      <c r="L11" t="s">
        <v>537</v>
      </c>
      <c r="N11" t="s">
        <v>259</v>
      </c>
      <c r="O11" t="s">
        <v>36</v>
      </c>
      <c r="P11">
        <v>229990001</v>
      </c>
      <c r="Q11">
        <v>3528560000000000</v>
      </c>
      <c r="S11">
        <v>10123</v>
      </c>
      <c r="T11">
        <v>6596</v>
      </c>
      <c r="U11">
        <v>0</v>
      </c>
      <c r="V11">
        <v>2.2810185185185183E-2</v>
      </c>
      <c r="W11">
        <v>16.27</v>
      </c>
      <c r="X11" t="s">
        <v>98</v>
      </c>
      <c r="Y11">
        <v>0</v>
      </c>
      <c r="Z11">
        <v>42384</v>
      </c>
      <c r="AA11">
        <v>20</v>
      </c>
      <c r="AB11">
        <v>46.36</v>
      </c>
      <c r="AC11" t="str">
        <f t="shared" si="0"/>
        <v>Small</v>
      </c>
      <c r="AD11" t="s">
        <v>577</v>
      </c>
      <c r="AE11" t="s">
        <v>38</v>
      </c>
      <c r="AF11" t="s">
        <v>57</v>
      </c>
      <c r="AG11" t="str">
        <f t="shared" si="1"/>
        <v>no</v>
      </c>
      <c r="AH11" t="s">
        <v>44</v>
      </c>
      <c r="AI11" t="s">
        <v>572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 x14ac:dyDescent="0.3">
      <c r="A12" t="s">
        <v>606</v>
      </c>
      <c r="B12" t="s">
        <v>28</v>
      </c>
      <c r="C12" t="s">
        <v>255</v>
      </c>
      <c r="D12" t="s">
        <v>256</v>
      </c>
      <c r="E12" t="s">
        <v>240</v>
      </c>
      <c r="F12" t="s">
        <v>92</v>
      </c>
      <c r="G12">
        <v>54911</v>
      </c>
      <c r="H12">
        <v>0</v>
      </c>
      <c r="J12" t="s">
        <v>257</v>
      </c>
      <c r="K12" t="s">
        <v>258</v>
      </c>
      <c r="L12" t="s">
        <v>537</v>
      </c>
      <c r="N12" t="s">
        <v>259</v>
      </c>
      <c r="O12" t="s">
        <v>36</v>
      </c>
      <c r="P12">
        <v>229990001</v>
      </c>
      <c r="Q12">
        <v>3528930000000000</v>
      </c>
      <c r="S12">
        <v>10123</v>
      </c>
      <c r="T12">
        <v>7496</v>
      </c>
      <c r="U12">
        <v>0</v>
      </c>
      <c r="V12">
        <v>2.2810185185185183E-2</v>
      </c>
      <c r="W12">
        <v>18.45</v>
      </c>
      <c r="X12" t="s">
        <v>98</v>
      </c>
      <c r="Y12">
        <v>0</v>
      </c>
      <c r="Z12">
        <v>42384</v>
      </c>
      <c r="AA12">
        <v>20</v>
      </c>
      <c r="AB12">
        <v>11.61</v>
      </c>
      <c r="AC12" t="str">
        <f t="shared" si="0"/>
        <v>Small</v>
      </c>
      <c r="AD12" t="s">
        <v>575</v>
      </c>
      <c r="AE12" t="s">
        <v>38</v>
      </c>
      <c r="AF12" t="s">
        <v>57</v>
      </c>
      <c r="AG12" t="str">
        <f t="shared" si="1"/>
        <v>yes</v>
      </c>
      <c r="AH12" t="s">
        <v>44</v>
      </c>
      <c r="AI12" t="s">
        <v>572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 x14ac:dyDescent="0.3">
      <c r="A13" t="s">
        <v>610</v>
      </c>
      <c r="B13" t="s">
        <v>99</v>
      </c>
      <c r="C13" t="s">
        <v>281</v>
      </c>
      <c r="D13" t="s">
        <v>275</v>
      </c>
      <c r="E13" t="s">
        <v>282</v>
      </c>
      <c r="F13" t="s">
        <v>92</v>
      </c>
      <c r="G13">
        <v>68002</v>
      </c>
      <c r="H13">
        <v>0</v>
      </c>
      <c r="J13" t="s">
        <v>283</v>
      </c>
      <c r="K13" t="s">
        <v>284</v>
      </c>
      <c r="L13" t="s">
        <v>52</v>
      </c>
      <c r="N13" t="s">
        <v>285</v>
      </c>
      <c r="O13" t="s">
        <v>36</v>
      </c>
      <c r="P13">
        <v>492230001</v>
      </c>
      <c r="Q13">
        <v>4535740000000000</v>
      </c>
      <c r="S13">
        <v>10139</v>
      </c>
      <c r="T13">
        <v>4082</v>
      </c>
      <c r="U13">
        <v>0</v>
      </c>
      <c r="V13">
        <v>2.2810185185185183E-2</v>
      </c>
      <c r="W13">
        <v>16.829999999999998</v>
      </c>
      <c r="X13" t="s">
        <v>98</v>
      </c>
      <c r="Y13">
        <v>0</v>
      </c>
      <c r="Z13">
        <v>42384</v>
      </c>
      <c r="AA13">
        <v>53</v>
      </c>
      <c r="AB13">
        <v>28.48</v>
      </c>
      <c r="AC13" t="str">
        <f t="shared" si="0"/>
        <v>Small</v>
      </c>
      <c r="AD13" t="s">
        <v>575</v>
      </c>
      <c r="AE13" t="s">
        <v>38</v>
      </c>
      <c r="AF13" t="s">
        <v>66</v>
      </c>
      <c r="AG13" t="str">
        <f t="shared" si="1"/>
        <v>yes</v>
      </c>
      <c r="AH13" t="s">
        <v>44</v>
      </c>
      <c r="AI13" t="s">
        <v>573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 x14ac:dyDescent="0.3">
      <c r="A14" t="s">
        <v>613</v>
      </c>
      <c r="B14" t="s">
        <v>28</v>
      </c>
      <c r="C14" t="s">
        <v>614</v>
      </c>
      <c r="D14" t="s">
        <v>300</v>
      </c>
      <c r="E14" t="s">
        <v>301</v>
      </c>
      <c r="F14" t="s">
        <v>92</v>
      </c>
      <c r="G14">
        <v>23005</v>
      </c>
      <c r="H14">
        <v>0</v>
      </c>
      <c r="J14" t="s">
        <v>302</v>
      </c>
      <c r="K14" t="s">
        <v>303</v>
      </c>
      <c r="L14" t="s">
        <v>95</v>
      </c>
      <c r="N14" t="s">
        <v>68</v>
      </c>
      <c r="O14" t="s">
        <v>304</v>
      </c>
      <c r="P14" t="s">
        <v>305</v>
      </c>
      <c r="Q14">
        <v>349153000000000</v>
      </c>
      <c r="S14">
        <v>10155</v>
      </c>
      <c r="T14">
        <v>8974</v>
      </c>
      <c r="U14">
        <v>0</v>
      </c>
      <c r="V14">
        <v>2.2810185185185183E-2</v>
      </c>
      <c r="W14">
        <v>17.600000000000001</v>
      </c>
      <c r="X14" t="s">
        <v>98</v>
      </c>
      <c r="Y14">
        <v>0</v>
      </c>
      <c r="Z14">
        <v>42384</v>
      </c>
      <c r="AA14">
        <v>40</v>
      </c>
      <c r="AB14">
        <v>40.619999999999997</v>
      </c>
      <c r="AC14" t="str">
        <f t="shared" si="0"/>
        <v>Small</v>
      </c>
      <c r="AD14" t="s">
        <v>575</v>
      </c>
      <c r="AE14" t="s">
        <v>38</v>
      </c>
      <c r="AF14" t="s">
        <v>66</v>
      </c>
      <c r="AG14" t="str">
        <f t="shared" si="1"/>
        <v>yes</v>
      </c>
      <c r="AH14" t="s">
        <v>44</v>
      </c>
      <c r="AI14" t="s">
        <v>571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 x14ac:dyDescent="0.3">
      <c r="A15" t="s">
        <v>606</v>
      </c>
      <c r="B15" t="s">
        <v>28</v>
      </c>
      <c r="C15" t="s">
        <v>255</v>
      </c>
      <c r="D15" t="s">
        <v>256</v>
      </c>
      <c r="E15" t="s">
        <v>240</v>
      </c>
      <c r="F15" t="s">
        <v>92</v>
      </c>
      <c r="G15">
        <v>54911</v>
      </c>
      <c r="H15">
        <v>0</v>
      </c>
      <c r="J15" t="s">
        <v>257</v>
      </c>
      <c r="K15" t="s">
        <v>258</v>
      </c>
      <c r="L15" t="s">
        <v>537</v>
      </c>
      <c r="N15" t="s">
        <v>259</v>
      </c>
      <c r="O15" t="s">
        <v>36</v>
      </c>
      <c r="P15">
        <v>229990001</v>
      </c>
      <c r="Q15">
        <v>3528230000000000</v>
      </c>
      <c r="S15">
        <v>10123</v>
      </c>
      <c r="T15">
        <v>4564</v>
      </c>
      <c r="U15">
        <v>0</v>
      </c>
      <c r="V15">
        <v>3.0469907407407407E-2</v>
      </c>
      <c r="W15">
        <v>24.08</v>
      </c>
      <c r="X15" t="s">
        <v>96</v>
      </c>
      <c r="Y15">
        <v>0</v>
      </c>
      <c r="Z15">
        <v>42394</v>
      </c>
      <c r="AA15">
        <v>20</v>
      </c>
      <c r="AB15">
        <v>44.29</v>
      </c>
      <c r="AC15" t="str">
        <f t="shared" si="0"/>
        <v>Small</v>
      </c>
      <c r="AD15" t="s">
        <v>575</v>
      </c>
      <c r="AE15" t="s">
        <v>38</v>
      </c>
      <c r="AF15" t="s">
        <v>57</v>
      </c>
      <c r="AG15" t="str">
        <f t="shared" si="1"/>
        <v>yes</v>
      </c>
      <c r="AH15" t="s">
        <v>44</v>
      </c>
      <c r="AI15" t="s">
        <v>572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 x14ac:dyDescent="0.3">
      <c r="A16" t="s">
        <v>619</v>
      </c>
      <c r="B16" t="s">
        <v>99</v>
      </c>
      <c r="C16" t="s">
        <v>329</v>
      </c>
      <c r="D16" t="s">
        <v>330</v>
      </c>
      <c r="E16" t="s">
        <v>331</v>
      </c>
      <c r="F16" t="s">
        <v>92</v>
      </c>
      <c r="G16">
        <v>8401</v>
      </c>
      <c r="H16">
        <v>0</v>
      </c>
      <c r="J16" t="s">
        <v>332</v>
      </c>
      <c r="K16" t="s">
        <v>333</v>
      </c>
      <c r="L16" t="s">
        <v>95</v>
      </c>
      <c r="N16" t="s">
        <v>334</v>
      </c>
      <c r="O16" t="s">
        <v>72</v>
      </c>
      <c r="P16" t="s">
        <v>335</v>
      </c>
      <c r="Q16">
        <v>340179000000000</v>
      </c>
      <c r="S16">
        <v>10179</v>
      </c>
      <c r="T16">
        <v>8402</v>
      </c>
      <c r="U16">
        <v>0</v>
      </c>
      <c r="V16">
        <v>3.0469907407407407E-2</v>
      </c>
      <c r="W16">
        <v>23.37</v>
      </c>
      <c r="X16" t="s">
        <v>96</v>
      </c>
      <c r="Y16">
        <v>0</v>
      </c>
      <c r="Z16">
        <v>42394</v>
      </c>
      <c r="AA16">
        <v>30</v>
      </c>
      <c r="AB16">
        <v>49.78</v>
      </c>
      <c r="AC16" t="str">
        <f t="shared" si="0"/>
        <v>Small</v>
      </c>
      <c r="AD16" t="s">
        <v>578</v>
      </c>
      <c r="AE16" t="s">
        <v>38</v>
      </c>
      <c r="AF16" t="s">
        <v>66</v>
      </c>
      <c r="AG16" t="str">
        <f t="shared" si="1"/>
        <v>no</v>
      </c>
      <c r="AH16" t="s">
        <v>44</v>
      </c>
      <c r="AI16" t="s">
        <v>571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 x14ac:dyDescent="0.3">
      <c r="A17" t="s">
        <v>629</v>
      </c>
      <c r="B17" t="s">
        <v>28</v>
      </c>
      <c r="C17" t="s">
        <v>389</v>
      </c>
      <c r="D17" t="s">
        <v>390</v>
      </c>
      <c r="E17" t="s">
        <v>391</v>
      </c>
      <c r="F17" t="s">
        <v>218</v>
      </c>
      <c r="G17">
        <v>3340</v>
      </c>
      <c r="H17">
        <v>0</v>
      </c>
      <c r="J17" t="s">
        <v>392</v>
      </c>
      <c r="K17" t="s">
        <v>393</v>
      </c>
      <c r="L17" t="s">
        <v>141</v>
      </c>
      <c r="N17" t="s">
        <v>105</v>
      </c>
      <c r="O17" t="s">
        <v>179</v>
      </c>
      <c r="P17">
        <v>329443600</v>
      </c>
      <c r="Q17">
        <v>36391100000000</v>
      </c>
      <c r="S17">
        <v>10227</v>
      </c>
      <c r="T17">
        <v>3492</v>
      </c>
      <c r="U17">
        <v>0</v>
      </c>
      <c r="V17">
        <v>3.1164351851851849E-2</v>
      </c>
      <c r="W17">
        <v>8.23</v>
      </c>
      <c r="X17" t="s">
        <v>142</v>
      </c>
      <c r="Y17">
        <v>0</v>
      </c>
      <c r="Z17">
        <v>42394</v>
      </c>
      <c r="AA17">
        <v>36</v>
      </c>
      <c r="AB17">
        <v>16</v>
      </c>
      <c r="AC17" t="str">
        <f t="shared" si="0"/>
        <v>Small</v>
      </c>
      <c r="AD17" t="s">
        <v>578</v>
      </c>
      <c r="AE17" t="s">
        <v>38</v>
      </c>
      <c r="AF17" t="s">
        <v>66</v>
      </c>
      <c r="AG17" t="str">
        <f t="shared" si="1"/>
        <v>no</v>
      </c>
      <c r="AH17" t="s">
        <v>44</v>
      </c>
      <c r="AI17" t="s">
        <v>571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 x14ac:dyDescent="0.3">
      <c r="A18" t="s">
        <v>584</v>
      </c>
      <c r="B18" t="s">
        <v>28</v>
      </c>
      <c r="C18" t="s">
        <v>70</v>
      </c>
      <c r="D18" t="s">
        <v>71</v>
      </c>
      <c r="F18" t="s">
        <v>72</v>
      </c>
      <c r="G18">
        <v>37511</v>
      </c>
      <c r="H18">
        <v>0</v>
      </c>
      <c r="J18" t="s">
        <v>73</v>
      </c>
      <c r="K18" t="s">
        <v>74</v>
      </c>
      <c r="L18" t="s">
        <v>75</v>
      </c>
      <c r="N18" t="s">
        <v>76</v>
      </c>
      <c r="O18" t="s">
        <v>31</v>
      </c>
      <c r="P18" t="s">
        <v>77</v>
      </c>
      <c r="Q18">
        <v>6011480000000000</v>
      </c>
      <c r="S18">
        <v>10019</v>
      </c>
      <c r="T18">
        <v>792</v>
      </c>
      <c r="U18">
        <v>0</v>
      </c>
      <c r="V18">
        <v>3.3291666666666664E-2</v>
      </c>
      <c r="W18">
        <v>9.2200000000000006</v>
      </c>
      <c r="X18" t="s">
        <v>78</v>
      </c>
      <c r="Y18">
        <v>0</v>
      </c>
      <c r="Z18">
        <v>42420</v>
      </c>
      <c r="AA18">
        <v>53</v>
      </c>
      <c r="AB18">
        <v>28.35</v>
      </c>
      <c r="AC18" t="str">
        <f t="shared" si="0"/>
        <v>Small</v>
      </c>
      <c r="AD18" t="s">
        <v>575</v>
      </c>
      <c r="AE18" t="s">
        <v>38</v>
      </c>
      <c r="AF18" t="s">
        <v>66</v>
      </c>
      <c r="AG18" t="str">
        <f t="shared" si="1"/>
        <v>yes</v>
      </c>
      <c r="AH18" t="s">
        <v>44</v>
      </c>
      <c r="AI18" t="s">
        <v>573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 x14ac:dyDescent="0.3">
      <c r="A19" t="s">
        <v>625</v>
      </c>
      <c r="B19" t="s">
        <v>28</v>
      </c>
      <c r="C19" t="s">
        <v>365</v>
      </c>
      <c r="D19" t="s">
        <v>366</v>
      </c>
      <c r="E19" t="s">
        <v>217</v>
      </c>
      <c r="F19" t="s">
        <v>31</v>
      </c>
      <c r="G19">
        <v>84010</v>
      </c>
      <c r="H19">
        <v>0</v>
      </c>
      <c r="J19" t="s">
        <v>367</v>
      </c>
      <c r="K19" t="s">
        <v>368</v>
      </c>
      <c r="L19" t="s">
        <v>52</v>
      </c>
      <c r="N19" t="s">
        <v>306</v>
      </c>
      <c r="O19" t="s">
        <v>304</v>
      </c>
      <c r="P19" t="s">
        <v>369</v>
      </c>
      <c r="Q19">
        <v>4604190000000000</v>
      </c>
      <c r="S19">
        <v>10211</v>
      </c>
      <c r="T19">
        <v>7014</v>
      </c>
      <c r="U19">
        <v>0</v>
      </c>
      <c r="V19">
        <v>3.3291666666666664E-2</v>
      </c>
      <c r="W19">
        <v>8.15</v>
      </c>
      <c r="X19" t="s">
        <v>78</v>
      </c>
      <c r="Y19">
        <v>0</v>
      </c>
      <c r="Z19">
        <v>42420</v>
      </c>
      <c r="AA19" t="s">
        <v>56</v>
      </c>
      <c r="AB19">
        <v>27.23</v>
      </c>
      <c r="AC19" t="str">
        <f t="shared" si="0"/>
        <v>Small</v>
      </c>
      <c r="AD19" t="s">
        <v>576</v>
      </c>
      <c r="AE19" t="s">
        <v>38</v>
      </c>
      <c r="AF19" t="s">
        <v>57</v>
      </c>
      <c r="AG19" t="str">
        <f t="shared" si="1"/>
        <v>no</v>
      </c>
      <c r="AH19" t="s">
        <v>44</v>
      </c>
      <c r="AI19" t="s">
        <v>572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 x14ac:dyDescent="0.3">
      <c r="A20" t="s">
        <v>581</v>
      </c>
      <c r="B20" t="s">
        <v>28</v>
      </c>
      <c r="C20" t="s">
        <v>582</v>
      </c>
      <c r="D20" t="s">
        <v>48</v>
      </c>
      <c r="F20" t="s">
        <v>49</v>
      </c>
      <c r="G20">
        <v>88480</v>
      </c>
      <c r="H20">
        <v>0</v>
      </c>
      <c r="J20" t="s">
        <v>50</v>
      </c>
      <c r="K20" t="s">
        <v>51</v>
      </c>
      <c r="L20" t="s">
        <v>52</v>
      </c>
      <c r="N20" t="s">
        <v>53</v>
      </c>
      <c r="O20" t="s">
        <v>31</v>
      </c>
      <c r="P20" t="s">
        <v>54</v>
      </c>
      <c r="Q20">
        <v>4469930000000000</v>
      </c>
      <c r="S20">
        <v>10007</v>
      </c>
      <c r="T20">
        <v>7441</v>
      </c>
      <c r="U20">
        <v>0</v>
      </c>
      <c r="V20">
        <v>2.7155092592592592E-2</v>
      </c>
      <c r="W20">
        <v>11.05</v>
      </c>
      <c r="X20" t="s">
        <v>55</v>
      </c>
      <c r="Y20">
        <v>0</v>
      </c>
      <c r="Z20">
        <v>42427</v>
      </c>
      <c r="AA20" t="s">
        <v>56</v>
      </c>
      <c r="AB20">
        <v>65.8</v>
      </c>
      <c r="AC20" t="str">
        <f t="shared" si="0"/>
        <v>Small</v>
      </c>
      <c r="AD20" t="s">
        <v>575</v>
      </c>
      <c r="AE20" t="s">
        <v>43</v>
      </c>
      <c r="AF20" t="s">
        <v>57</v>
      </c>
      <c r="AG20" t="str">
        <f t="shared" si="1"/>
        <v>yes</v>
      </c>
      <c r="AH20" t="s">
        <v>58</v>
      </c>
      <c r="AI20" t="s">
        <v>572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</row>
    <row r="21" spans="1:64" x14ac:dyDescent="0.3">
      <c r="A21" t="s">
        <v>583</v>
      </c>
      <c r="B21" t="s">
        <v>28</v>
      </c>
      <c r="C21" t="s">
        <v>59</v>
      </c>
      <c r="D21" t="s">
        <v>60</v>
      </c>
      <c r="E21" t="s">
        <v>61</v>
      </c>
      <c r="F21" t="s">
        <v>31</v>
      </c>
      <c r="G21">
        <v>88041</v>
      </c>
      <c r="H21">
        <v>0</v>
      </c>
      <c r="J21" t="s">
        <v>62</v>
      </c>
      <c r="K21" t="s">
        <v>63</v>
      </c>
      <c r="L21" t="s">
        <v>52</v>
      </c>
      <c r="N21" t="s">
        <v>46</v>
      </c>
      <c r="O21" t="s">
        <v>64</v>
      </c>
      <c r="P21">
        <v>148000000000000</v>
      </c>
      <c r="Q21">
        <v>4016650000000000</v>
      </c>
      <c r="S21">
        <v>10015</v>
      </c>
      <c r="T21">
        <v>1209</v>
      </c>
      <c r="U21">
        <v>0</v>
      </c>
      <c r="V21">
        <v>3.0493055555555551E-2</v>
      </c>
      <c r="W21">
        <v>23.37</v>
      </c>
      <c r="X21" t="s">
        <v>67</v>
      </c>
      <c r="Y21">
        <v>0</v>
      </c>
      <c r="Z21">
        <v>42427</v>
      </c>
      <c r="AA21">
        <v>60</v>
      </c>
      <c r="AB21">
        <v>18.809999999999999</v>
      </c>
      <c r="AC21" t="str">
        <f t="shared" si="0"/>
        <v>Small</v>
      </c>
      <c r="AD21" t="s">
        <v>577</v>
      </c>
      <c r="AE21" t="s">
        <v>38</v>
      </c>
      <c r="AF21" t="s">
        <v>66</v>
      </c>
      <c r="AG21" t="str">
        <f t="shared" si="1"/>
        <v>no</v>
      </c>
      <c r="AH21" t="s">
        <v>44</v>
      </c>
      <c r="AI21" t="s">
        <v>573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 x14ac:dyDescent="0.3">
      <c r="A22" t="s">
        <v>595</v>
      </c>
      <c r="B22" t="s">
        <v>28</v>
      </c>
      <c r="C22" t="s">
        <v>169</v>
      </c>
      <c r="D22" t="s">
        <v>170</v>
      </c>
      <c r="E22" t="s">
        <v>171</v>
      </c>
      <c r="F22" t="s">
        <v>92</v>
      </c>
      <c r="G22">
        <v>20222</v>
      </c>
      <c r="H22">
        <v>0</v>
      </c>
      <c r="J22" t="s">
        <v>172</v>
      </c>
      <c r="K22" t="s">
        <v>173</v>
      </c>
      <c r="L22" t="s">
        <v>537</v>
      </c>
      <c r="N22" t="s">
        <v>174</v>
      </c>
      <c r="O22" t="s">
        <v>36</v>
      </c>
      <c r="P22">
        <v>530990002</v>
      </c>
      <c r="Q22">
        <v>3528920000000000</v>
      </c>
      <c r="S22">
        <v>10075</v>
      </c>
      <c r="T22">
        <v>670</v>
      </c>
      <c r="U22">
        <v>0</v>
      </c>
      <c r="V22">
        <v>2.7155092592592592E-2</v>
      </c>
      <c r="W22">
        <v>11.85</v>
      </c>
      <c r="X22" t="s">
        <v>55</v>
      </c>
      <c r="Y22">
        <v>0</v>
      </c>
      <c r="Z22">
        <v>42427</v>
      </c>
      <c r="AA22">
        <v>73</v>
      </c>
      <c r="AB22">
        <v>142.54</v>
      </c>
      <c r="AC22" t="str">
        <f t="shared" si="0"/>
        <v>Medium</v>
      </c>
      <c r="AD22" t="s">
        <v>575</v>
      </c>
      <c r="AE22" t="s">
        <v>43</v>
      </c>
      <c r="AF22" t="s">
        <v>39</v>
      </c>
      <c r="AG22" t="str">
        <f t="shared" si="1"/>
        <v>yes</v>
      </c>
      <c r="AH22" t="s">
        <v>40</v>
      </c>
      <c r="AI22" t="s">
        <v>573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1</v>
      </c>
    </row>
    <row r="23" spans="1:64" x14ac:dyDescent="0.3">
      <c r="A23" t="s">
        <v>599</v>
      </c>
      <c r="B23" t="s">
        <v>99</v>
      </c>
      <c r="C23" t="s">
        <v>203</v>
      </c>
      <c r="D23" t="s">
        <v>204</v>
      </c>
      <c r="E23" t="s">
        <v>179</v>
      </c>
      <c r="F23" t="s">
        <v>92</v>
      </c>
      <c r="G23">
        <v>92805</v>
      </c>
      <c r="H23">
        <v>0</v>
      </c>
      <c r="J23" t="s">
        <v>205</v>
      </c>
      <c r="K23" t="s">
        <v>206</v>
      </c>
      <c r="L23" t="s">
        <v>141</v>
      </c>
      <c r="N23" t="s">
        <v>159</v>
      </c>
      <c r="O23" t="s">
        <v>64</v>
      </c>
      <c r="P23">
        <v>700000000000000</v>
      </c>
      <c r="Q23">
        <v>36980300000000</v>
      </c>
      <c r="S23">
        <v>10095</v>
      </c>
      <c r="T23">
        <v>2162</v>
      </c>
      <c r="U23">
        <v>0</v>
      </c>
      <c r="V23">
        <v>3.0493055555555551E-2</v>
      </c>
      <c r="W23">
        <v>8.99</v>
      </c>
      <c r="X23" t="s">
        <v>67</v>
      </c>
      <c r="Y23">
        <v>0</v>
      </c>
      <c r="Z23">
        <v>42427</v>
      </c>
      <c r="AA23" t="s">
        <v>207</v>
      </c>
      <c r="AB23">
        <v>35.36</v>
      </c>
      <c r="AC23" t="str">
        <f t="shared" si="0"/>
        <v>Small</v>
      </c>
      <c r="AD23" t="s">
        <v>577</v>
      </c>
      <c r="AE23" t="s">
        <v>38</v>
      </c>
      <c r="AF23" t="s">
        <v>39</v>
      </c>
      <c r="AG23" t="str">
        <f t="shared" si="1"/>
        <v>no</v>
      </c>
      <c r="AH23" t="s">
        <v>44</v>
      </c>
      <c r="AI23" t="s">
        <v>572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 x14ac:dyDescent="0.3">
      <c r="A24" t="s">
        <v>603</v>
      </c>
      <c r="B24" t="s">
        <v>99</v>
      </c>
      <c r="C24" t="s">
        <v>230</v>
      </c>
      <c r="D24" t="s">
        <v>231</v>
      </c>
      <c r="E24" t="s">
        <v>232</v>
      </c>
      <c r="F24" t="s">
        <v>31</v>
      </c>
      <c r="G24">
        <v>30020</v>
      </c>
      <c r="H24">
        <v>0</v>
      </c>
      <c r="J24" t="s">
        <v>233</v>
      </c>
      <c r="K24" t="s">
        <v>234</v>
      </c>
      <c r="L24" t="s">
        <v>141</v>
      </c>
      <c r="N24" t="s">
        <v>235</v>
      </c>
      <c r="O24" t="s">
        <v>72</v>
      </c>
      <c r="P24" t="s">
        <v>236</v>
      </c>
      <c r="Q24">
        <v>36644800000000</v>
      </c>
      <c r="S24">
        <v>10111</v>
      </c>
      <c r="T24">
        <v>5147</v>
      </c>
      <c r="U24">
        <v>0</v>
      </c>
      <c r="V24">
        <v>1.6604166666666666E-2</v>
      </c>
      <c r="W24">
        <v>14.8</v>
      </c>
      <c r="X24" t="s">
        <v>237</v>
      </c>
      <c r="Y24">
        <v>0</v>
      </c>
      <c r="Z24">
        <v>42427</v>
      </c>
      <c r="AA24">
        <v>19</v>
      </c>
      <c r="AB24">
        <v>22.02</v>
      </c>
      <c r="AC24" t="str">
        <f t="shared" si="0"/>
        <v>Small</v>
      </c>
      <c r="AD24" t="s">
        <v>577</v>
      </c>
      <c r="AE24" t="s">
        <v>38</v>
      </c>
      <c r="AF24" t="s">
        <v>39</v>
      </c>
      <c r="AG24" t="str">
        <f t="shared" si="1"/>
        <v>no</v>
      </c>
      <c r="AH24" t="s">
        <v>44</v>
      </c>
      <c r="AI24" t="s">
        <v>572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1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 x14ac:dyDescent="0.3">
      <c r="A25" t="s">
        <v>628</v>
      </c>
      <c r="B25" t="s">
        <v>28</v>
      </c>
      <c r="C25" t="s">
        <v>383</v>
      </c>
      <c r="D25" t="s">
        <v>384</v>
      </c>
      <c r="E25" t="s">
        <v>179</v>
      </c>
      <c r="F25" t="s">
        <v>92</v>
      </c>
      <c r="G25">
        <v>93307</v>
      </c>
      <c r="H25">
        <v>0</v>
      </c>
      <c r="J25" t="s">
        <v>385</v>
      </c>
      <c r="K25" t="s">
        <v>386</v>
      </c>
      <c r="L25" t="s">
        <v>141</v>
      </c>
      <c r="N25" t="s">
        <v>53</v>
      </c>
      <c r="O25" t="s">
        <v>179</v>
      </c>
      <c r="P25">
        <v>321140626</v>
      </c>
      <c r="Q25">
        <v>36558300000000</v>
      </c>
      <c r="S25">
        <v>10223</v>
      </c>
      <c r="T25">
        <v>4750</v>
      </c>
      <c r="U25">
        <v>0</v>
      </c>
      <c r="V25">
        <v>2.7155092592592592E-2</v>
      </c>
      <c r="W25">
        <v>17.87</v>
      </c>
      <c r="X25" t="s">
        <v>55</v>
      </c>
      <c r="Y25">
        <v>0</v>
      </c>
      <c r="Z25">
        <v>42427</v>
      </c>
      <c r="AA25" t="s">
        <v>387</v>
      </c>
      <c r="AB25">
        <v>39.36</v>
      </c>
      <c r="AC25" t="str">
        <f t="shared" si="0"/>
        <v>Small</v>
      </c>
      <c r="AD25" t="s">
        <v>575</v>
      </c>
      <c r="AE25" t="s">
        <v>38</v>
      </c>
      <c r="AF25" t="s">
        <v>57</v>
      </c>
      <c r="AG25" t="str">
        <f t="shared" si="1"/>
        <v>yes</v>
      </c>
      <c r="AH25" t="s">
        <v>44</v>
      </c>
      <c r="AI25" t="s">
        <v>572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 x14ac:dyDescent="0.3">
      <c r="A26" t="s">
        <v>646</v>
      </c>
      <c r="B26" t="s">
        <v>28</v>
      </c>
      <c r="C26" t="s">
        <v>474</v>
      </c>
      <c r="D26" t="s">
        <v>475</v>
      </c>
      <c r="E26" t="s">
        <v>301</v>
      </c>
      <c r="F26" t="s">
        <v>31</v>
      </c>
      <c r="G26">
        <v>21010</v>
      </c>
      <c r="H26">
        <v>0</v>
      </c>
      <c r="J26" t="s">
        <v>476</v>
      </c>
      <c r="K26" t="s">
        <v>477</v>
      </c>
      <c r="L26" t="s">
        <v>75</v>
      </c>
      <c r="N26" t="s">
        <v>168</v>
      </c>
      <c r="O26" t="s">
        <v>64</v>
      </c>
      <c r="P26">
        <v>283000000000000</v>
      </c>
      <c r="Q26">
        <v>6011400000000000</v>
      </c>
      <c r="S26">
        <v>10307</v>
      </c>
      <c r="T26">
        <v>3771</v>
      </c>
      <c r="U26">
        <v>0</v>
      </c>
      <c r="V26">
        <v>2.7155092592592592E-2</v>
      </c>
      <c r="W26">
        <v>8.23</v>
      </c>
      <c r="X26" t="s">
        <v>55</v>
      </c>
      <c r="Y26">
        <v>0</v>
      </c>
      <c r="Z26">
        <v>42427</v>
      </c>
      <c r="AA26" t="s">
        <v>56</v>
      </c>
      <c r="AB26">
        <v>253.96</v>
      </c>
      <c r="AC26" t="str">
        <f t="shared" si="0"/>
        <v>Medium</v>
      </c>
      <c r="AD26" t="s">
        <v>575</v>
      </c>
      <c r="AE26" t="s">
        <v>38</v>
      </c>
      <c r="AF26" t="s">
        <v>66</v>
      </c>
      <c r="AG26" t="str">
        <f t="shared" si="1"/>
        <v>yes</v>
      </c>
      <c r="AH26" t="s">
        <v>58</v>
      </c>
      <c r="AI26" t="s">
        <v>572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1</v>
      </c>
      <c r="BL26">
        <v>0</v>
      </c>
    </row>
    <row r="27" spans="1:64" x14ac:dyDescent="0.3">
      <c r="A27" t="s">
        <v>653</v>
      </c>
      <c r="B27" t="s">
        <v>99</v>
      </c>
      <c r="C27" t="s">
        <v>509</v>
      </c>
      <c r="D27" t="s">
        <v>510</v>
      </c>
      <c r="E27" t="s">
        <v>511</v>
      </c>
      <c r="F27" t="s">
        <v>92</v>
      </c>
      <c r="G27">
        <v>35222</v>
      </c>
      <c r="H27">
        <v>0</v>
      </c>
      <c r="J27" t="s">
        <v>512</v>
      </c>
      <c r="K27" t="s">
        <v>513</v>
      </c>
      <c r="L27" t="s">
        <v>75</v>
      </c>
      <c r="N27" t="s">
        <v>514</v>
      </c>
      <c r="O27" t="s">
        <v>179</v>
      </c>
      <c r="P27">
        <v>944146232</v>
      </c>
      <c r="Q27">
        <v>6011530000000000</v>
      </c>
      <c r="S27">
        <v>10335</v>
      </c>
      <c r="T27">
        <v>235</v>
      </c>
      <c r="U27">
        <v>0</v>
      </c>
      <c r="V27">
        <v>1.6604166666666666E-2</v>
      </c>
      <c r="W27">
        <v>16.850000000000001</v>
      </c>
      <c r="X27" t="s">
        <v>237</v>
      </c>
      <c r="Y27">
        <v>0</v>
      </c>
      <c r="Z27">
        <v>42427</v>
      </c>
      <c r="AA27">
        <v>45</v>
      </c>
      <c r="AB27">
        <v>47.31</v>
      </c>
      <c r="AC27" t="str">
        <f t="shared" si="0"/>
        <v>Small</v>
      </c>
      <c r="AD27" t="s">
        <v>575</v>
      </c>
      <c r="AE27" t="s">
        <v>38</v>
      </c>
      <c r="AF27" t="s">
        <v>66</v>
      </c>
      <c r="AG27" t="str">
        <f t="shared" si="1"/>
        <v>yes</v>
      </c>
      <c r="AH27" t="s">
        <v>44</v>
      </c>
      <c r="AI27" t="s">
        <v>574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 x14ac:dyDescent="0.3">
      <c r="A28" t="s">
        <v>579</v>
      </c>
      <c r="B28" t="s">
        <v>28</v>
      </c>
      <c r="C28" t="s">
        <v>580</v>
      </c>
      <c r="D28" t="s">
        <v>29</v>
      </c>
      <c r="E28" t="s">
        <v>30</v>
      </c>
      <c r="F28" t="s">
        <v>31</v>
      </c>
      <c r="G28">
        <v>6040</v>
      </c>
      <c r="H28">
        <v>0</v>
      </c>
      <c r="J28" t="s">
        <v>32</v>
      </c>
      <c r="K28" t="s">
        <v>33</v>
      </c>
      <c r="L28" t="s">
        <v>34</v>
      </c>
      <c r="N28" t="s">
        <v>35</v>
      </c>
      <c r="O28" t="s">
        <v>36</v>
      </c>
      <c r="P28">
        <v>22867928</v>
      </c>
      <c r="Q28">
        <v>5159250000000000</v>
      </c>
      <c r="S28">
        <v>10003</v>
      </c>
      <c r="T28">
        <v>7498</v>
      </c>
      <c r="U28">
        <v>0</v>
      </c>
      <c r="V28">
        <v>1.384375E-2</v>
      </c>
      <c r="W28">
        <v>18.45</v>
      </c>
      <c r="X28" t="s">
        <v>45</v>
      </c>
      <c r="Y28">
        <v>0</v>
      </c>
      <c r="Z28">
        <v>42430</v>
      </c>
      <c r="AA28">
        <v>27</v>
      </c>
      <c r="AB28">
        <v>5.65</v>
      </c>
      <c r="AC28" t="str">
        <f t="shared" si="0"/>
        <v>Small</v>
      </c>
      <c r="AD28" t="s">
        <v>575</v>
      </c>
      <c r="AE28" t="s">
        <v>38</v>
      </c>
      <c r="AF28" t="s">
        <v>39</v>
      </c>
      <c r="AG28" t="str">
        <f t="shared" si="1"/>
        <v>yes</v>
      </c>
      <c r="AH28" t="s">
        <v>44</v>
      </c>
      <c r="AI28" t="s">
        <v>571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 x14ac:dyDescent="0.3">
      <c r="A29" t="s">
        <v>594</v>
      </c>
      <c r="B29" t="s">
        <v>99</v>
      </c>
      <c r="C29" t="s">
        <v>163</v>
      </c>
      <c r="D29" t="s">
        <v>164</v>
      </c>
      <c r="F29" t="s">
        <v>72</v>
      </c>
      <c r="G29">
        <v>7210</v>
      </c>
      <c r="H29">
        <v>0</v>
      </c>
      <c r="J29" t="s">
        <v>165</v>
      </c>
      <c r="K29" t="s">
        <v>166</v>
      </c>
      <c r="L29" t="s">
        <v>52</v>
      </c>
      <c r="N29" t="s">
        <v>167</v>
      </c>
      <c r="O29" t="s">
        <v>36</v>
      </c>
      <c r="P29">
        <v>515250001</v>
      </c>
      <c r="Q29">
        <v>4630680000000000</v>
      </c>
      <c r="S29">
        <v>10067</v>
      </c>
      <c r="T29">
        <v>1239</v>
      </c>
      <c r="U29">
        <v>0</v>
      </c>
      <c r="V29">
        <v>2.0210648148148148E-2</v>
      </c>
      <c r="W29">
        <v>7.85</v>
      </c>
      <c r="X29" t="s">
        <v>76</v>
      </c>
      <c r="Y29">
        <v>0</v>
      </c>
      <c r="Z29">
        <v>42430</v>
      </c>
      <c r="AA29">
        <v>28</v>
      </c>
      <c r="AB29">
        <v>378</v>
      </c>
      <c r="AC29" t="str">
        <f t="shared" si="0"/>
        <v>Large</v>
      </c>
      <c r="AD29" t="s">
        <v>575</v>
      </c>
      <c r="AE29" t="s">
        <v>38</v>
      </c>
      <c r="AF29" t="s">
        <v>39</v>
      </c>
      <c r="AG29" t="str">
        <f t="shared" si="1"/>
        <v>yes</v>
      </c>
      <c r="AH29" t="s">
        <v>44</v>
      </c>
      <c r="AI29" t="s">
        <v>571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 x14ac:dyDescent="0.3">
      <c r="A30" t="s">
        <v>612</v>
      </c>
      <c r="B30" t="s">
        <v>28</v>
      </c>
      <c r="C30" t="s">
        <v>294</v>
      </c>
      <c r="D30" t="s">
        <v>295</v>
      </c>
      <c r="E30" t="s">
        <v>296</v>
      </c>
      <c r="F30" t="s">
        <v>92</v>
      </c>
      <c r="G30">
        <v>27203</v>
      </c>
      <c r="H30">
        <v>0</v>
      </c>
      <c r="J30" t="s">
        <v>297</v>
      </c>
      <c r="K30" t="s">
        <v>298</v>
      </c>
      <c r="L30" t="s">
        <v>75</v>
      </c>
      <c r="N30" t="s">
        <v>246</v>
      </c>
      <c r="O30" t="s">
        <v>64</v>
      </c>
      <c r="P30">
        <v>783000000000000</v>
      </c>
      <c r="Q30">
        <v>6011980000000000</v>
      </c>
      <c r="S30">
        <v>10151</v>
      </c>
      <c r="T30">
        <v>5252</v>
      </c>
      <c r="U30">
        <v>0</v>
      </c>
      <c r="V30">
        <v>2.0210648148148148E-2</v>
      </c>
      <c r="W30">
        <v>13.82</v>
      </c>
      <c r="X30" t="s">
        <v>76</v>
      </c>
      <c r="Y30">
        <v>0</v>
      </c>
      <c r="Z30">
        <v>42430</v>
      </c>
      <c r="AA30">
        <v>75</v>
      </c>
      <c r="AB30">
        <v>217.37</v>
      </c>
      <c r="AC30" t="str">
        <f t="shared" si="0"/>
        <v>Medium</v>
      </c>
      <c r="AD30" t="s">
        <v>577</v>
      </c>
      <c r="AE30" t="s">
        <v>43</v>
      </c>
      <c r="AF30" t="s">
        <v>39</v>
      </c>
      <c r="AG30" t="str">
        <f t="shared" si="1"/>
        <v>no</v>
      </c>
      <c r="AH30" t="s">
        <v>58</v>
      </c>
      <c r="AI30" t="s">
        <v>573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1</v>
      </c>
      <c r="BF30">
        <v>1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</row>
    <row r="31" spans="1:64" x14ac:dyDescent="0.3">
      <c r="A31" t="s">
        <v>648</v>
      </c>
      <c r="B31" t="s">
        <v>99</v>
      </c>
      <c r="C31" t="s">
        <v>482</v>
      </c>
      <c r="D31" t="s">
        <v>483</v>
      </c>
      <c r="E31" t="s">
        <v>484</v>
      </c>
      <c r="F31" t="s">
        <v>31</v>
      </c>
      <c r="G31">
        <v>31056</v>
      </c>
      <c r="H31">
        <v>0</v>
      </c>
      <c r="J31" t="s">
        <v>485</v>
      </c>
      <c r="K31" t="s">
        <v>486</v>
      </c>
      <c r="L31" t="s">
        <v>141</v>
      </c>
      <c r="N31" t="s">
        <v>98</v>
      </c>
      <c r="O31" t="s">
        <v>64</v>
      </c>
      <c r="P31">
        <v>115000000000000</v>
      </c>
      <c r="Q31">
        <v>36526200000000</v>
      </c>
      <c r="S31">
        <v>10315</v>
      </c>
      <c r="T31">
        <v>4576</v>
      </c>
      <c r="U31">
        <v>0</v>
      </c>
      <c r="V31">
        <v>1.384375E-2</v>
      </c>
      <c r="W31">
        <v>11.15</v>
      </c>
      <c r="X31" t="s">
        <v>45</v>
      </c>
      <c r="Y31">
        <v>0</v>
      </c>
      <c r="Z31">
        <v>42430</v>
      </c>
      <c r="AA31" t="s">
        <v>56</v>
      </c>
      <c r="AB31">
        <v>66.319999999999993</v>
      </c>
      <c r="AC31" t="str">
        <f t="shared" si="0"/>
        <v>Small</v>
      </c>
      <c r="AD31" t="s">
        <v>575</v>
      </c>
      <c r="AE31" t="s">
        <v>38</v>
      </c>
      <c r="AF31" t="s">
        <v>66</v>
      </c>
      <c r="AG31" t="str">
        <f t="shared" si="1"/>
        <v>yes</v>
      </c>
      <c r="AH31" t="s">
        <v>40</v>
      </c>
      <c r="AI31" t="s">
        <v>572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</row>
    <row r="32" spans="1:64" x14ac:dyDescent="0.3">
      <c r="A32" t="s">
        <v>651</v>
      </c>
      <c r="B32" t="s">
        <v>264</v>
      </c>
      <c r="C32" t="s">
        <v>496</v>
      </c>
      <c r="D32" t="s">
        <v>497</v>
      </c>
      <c r="E32" t="s">
        <v>498</v>
      </c>
      <c r="F32" t="s">
        <v>92</v>
      </c>
      <c r="G32">
        <v>59102</v>
      </c>
      <c r="H32">
        <v>0</v>
      </c>
      <c r="J32" t="s">
        <v>499</v>
      </c>
      <c r="K32" t="s">
        <v>500</v>
      </c>
      <c r="L32" t="s">
        <v>52</v>
      </c>
      <c r="N32" t="s">
        <v>501</v>
      </c>
      <c r="O32" t="s">
        <v>64</v>
      </c>
      <c r="P32">
        <v>250000000000000</v>
      </c>
      <c r="Q32">
        <v>4993740000000000</v>
      </c>
      <c r="S32">
        <v>10327</v>
      </c>
      <c r="T32">
        <v>8518</v>
      </c>
      <c r="U32">
        <v>0</v>
      </c>
      <c r="V32">
        <v>1.384375E-2</v>
      </c>
      <c r="W32">
        <v>33.99</v>
      </c>
      <c r="X32" t="s">
        <v>45</v>
      </c>
      <c r="Y32">
        <v>0</v>
      </c>
      <c r="Z32">
        <v>42430</v>
      </c>
      <c r="AA32">
        <v>65</v>
      </c>
      <c r="AB32">
        <v>219.49</v>
      </c>
      <c r="AC32" t="str">
        <f t="shared" si="0"/>
        <v>Medium</v>
      </c>
      <c r="AD32" t="s">
        <v>578</v>
      </c>
      <c r="AE32" t="s">
        <v>43</v>
      </c>
      <c r="AF32" t="s">
        <v>39</v>
      </c>
      <c r="AG32" t="str">
        <f t="shared" si="1"/>
        <v>no</v>
      </c>
      <c r="AH32" t="s">
        <v>58</v>
      </c>
      <c r="AI32" t="s">
        <v>573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</row>
    <row r="33" spans="1:64" x14ac:dyDescent="0.3">
      <c r="A33" t="s">
        <v>642</v>
      </c>
      <c r="B33" t="s">
        <v>28</v>
      </c>
      <c r="C33" t="s">
        <v>453</v>
      </c>
      <c r="D33" t="s">
        <v>454</v>
      </c>
      <c r="E33" t="s">
        <v>455</v>
      </c>
      <c r="F33" t="s">
        <v>92</v>
      </c>
      <c r="G33">
        <v>97701</v>
      </c>
      <c r="H33">
        <v>0</v>
      </c>
      <c r="J33" t="s">
        <v>456</v>
      </c>
      <c r="K33" t="s">
        <v>457</v>
      </c>
      <c r="L33" t="s">
        <v>34</v>
      </c>
      <c r="N33" t="s">
        <v>221</v>
      </c>
      <c r="O33" t="s">
        <v>31</v>
      </c>
      <c r="P33" t="s">
        <v>458</v>
      </c>
      <c r="Q33">
        <v>5171300000000000</v>
      </c>
      <c r="S33">
        <v>10291</v>
      </c>
      <c r="T33">
        <v>878</v>
      </c>
      <c r="U33">
        <v>0</v>
      </c>
      <c r="V33">
        <v>1.384375E-2</v>
      </c>
      <c r="W33">
        <v>23.37</v>
      </c>
      <c r="X33" t="s">
        <v>459</v>
      </c>
      <c r="Y33">
        <v>0</v>
      </c>
      <c r="Z33">
        <v>42431</v>
      </c>
      <c r="AA33">
        <v>79</v>
      </c>
      <c r="AB33">
        <v>210.26</v>
      </c>
      <c r="AC33" t="str">
        <f t="shared" si="0"/>
        <v>Medium</v>
      </c>
      <c r="AD33" t="s">
        <v>575</v>
      </c>
      <c r="AE33" t="s">
        <v>43</v>
      </c>
      <c r="AF33" t="s">
        <v>39</v>
      </c>
      <c r="AG33" t="str">
        <f t="shared" si="1"/>
        <v>yes</v>
      </c>
      <c r="AH33" t="s">
        <v>58</v>
      </c>
      <c r="AI33" t="s">
        <v>573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1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1</v>
      </c>
    </row>
    <row r="34" spans="1:64" x14ac:dyDescent="0.3">
      <c r="A34" t="s">
        <v>651</v>
      </c>
      <c r="B34" t="s">
        <v>264</v>
      </c>
      <c r="C34" t="s">
        <v>496</v>
      </c>
      <c r="D34" t="s">
        <v>497</v>
      </c>
      <c r="E34" t="s">
        <v>498</v>
      </c>
      <c r="F34" t="s">
        <v>92</v>
      </c>
      <c r="G34">
        <v>59102</v>
      </c>
      <c r="H34">
        <v>0</v>
      </c>
      <c r="J34" t="s">
        <v>499</v>
      </c>
      <c r="K34" t="s">
        <v>500</v>
      </c>
      <c r="L34" t="s">
        <v>52</v>
      </c>
      <c r="N34" t="s">
        <v>501</v>
      </c>
      <c r="O34" t="s">
        <v>64</v>
      </c>
      <c r="P34">
        <v>250000000000000</v>
      </c>
      <c r="Q34">
        <v>4796570000000000</v>
      </c>
      <c r="S34">
        <v>10327</v>
      </c>
      <c r="T34">
        <v>758</v>
      </c>
      <c r="U34">
        <v>0</v>
      </c>
      <c r="V34">
        <v>8.8668981481481481E-3</v>
      </c>
      <c r="W34">
        <v>6.15</v>
      </c>
      <c r="X34" t="s">
        <v>502</v>
      </c>
      <c r="Y34">
        <v>0</v>
      </c>
      <c r="Z34">
        <v>42432</v>
      </c>
      <c r="AA34">
        <v>65</v>
      </c>
      <c r="AB34">
        <v>190.14</v>
      </c>
      <c r="AC34" t="str">
        <f t="shared" si="0"/>
        <v>Medium</v>
      </c>
      <c r="AD34" t="s">
        <v>575</v>
      </c>
      <c r="AE34" t="s">
        <v>43</v>
      </c>
      <c r="AF34" t="s">
        <v>39</v>
      </c>
      <c r="AG34" t="str">
        <f t="shared" si="1"/>
        <v>yes</v>
      </c>
      <c r="AH34" t="s">
        <v>58</v>
      </c>
      <c r="AI34" t="s">
        <v>573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</row>
    <row r="35" spans="1:64" x14ac:dyDescent="0.3">
      <c r="A35" t="s">
        <v>622</v>
      </c>
      <c r="B35" t="s">
        <v>99</v>
      </c>
      <c r="C35" t="s">
        <v>347</v>
      </c>
      <c r="D35" t="s">
        <v>348</v>
      </c>
      <c r="E35" t="s">
        <v>196</v>
      </c>
      <c r="F35" t="s">
        <v>92</v>
      </c>
      <c r="G35">
        <v>78664</v>
      </c>
      <c r="H35">
        <v>0</v>
      </c>
      <c r="J35" t="s">
        <v>349</v>
      </c>
      <c r="K35" t="s">
        <v>350</v>
      </c>
      <c r="L35" t="s">
        <v>52</v>
      </c>
      <c r="N35" t="s">
        <v>133</v>
      </c>
      <c r="O35" t="s">
        <v>72</v>
      </c>
      <c r="P35" t="s">
        <v>351</v>
      </c>
      <c r="Q35">
        <v>4761930000000000</v>
      </c>
      <c r="S35">
        <v>10195</v>
      </c>
      <c r="T35">
        <v>1210</v>
      </c>
      <c r="U35">
        <v>0</v>
      </c>
      <c r="V35">
        <v>2.0210648148148148E-2</v>
      </c>
      <c r="W35">
        <v>23.37</v>
      </c>
      <c r="X35" t="s">
        <v>246</v>
      </c>
      <c r="Y35">
        <v>0</v>
      </c>
      <c r="Z35">
        <v>42440</v>
      </c>
      <c r="AA35">
        <v>68</v>
      </c>
      <c r="AB35">
        <v>550</v>
      </c>
      <c r="AC35" t="str">
        <f t="shared" si="0"/>
        <v>Large</v>
      </c>
      <c r="AD35" t="s">
        <v>575</v>
      </c>
      <c r="AE35" t="s">
        <v>43</v>
      </c>
      <c r="AF35" t="s">
        <v>66</v>
      </c>
      <c r="AG35" t="str">
        <f t="shared" si="1"/>
        <v>yes</v>
      </c>
      <c r="AH35" t="s">
        <v>58</v>
      </c>
      <c r="AI35" t="s">
        <v>573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</row>
    <row r="36" spans="1:64" x14ac:dyDescent="0.3">
      <c r="A36" t="s">
        <v>590</v>
      </c>
      <c r="B36" t="s">
        <v>28</v>
      </c>
      <c r="C36" t="s">
        <v>124</v>
      </c>
      <c r="D36" t="s">
        <v>125</v>
      </c>
      <c r="E36" t="s">
        <v>126</v>
      </c>
      <c r="F36" t="s">
        <v>92</v>
      </c>
      <c r="G36">
        <v>87109</v>
      </c>
      <c r="H36">
        <v>0</v>
      </c>
      <c r="J36" t="s">
        <v>127</v>
      </c>
      <c r="K36" t="s">
        <v>128</v>
      </c>
      <c r="L36" t="s">
        <v>95</v>
      </c>
      <c r="N36" t="s">
        <v>129</v>
      </c>
      <c r="O36" t="s">
        <v>64</v>
      </c>
      <c r="P36">
        <v>176000000000000</v>
      </c>
      <c r="Q36">
        <v>378254000000000</v>
      </c>
      <c r="S36">
        <v>10051</v>
      </c>
      <c r="T36">
        <v>3079</v>
      </c>
      <c r="U36">
        <v>0</v>
      </c>
      <c r="V36">
        <v>1.3729166666666667E-2</v>
      </c>
      <c r="W36">
        <v>7.85</v>
      </c>
      <c r="X36" t="s">
        <v>131</v>
      </c>
      <c r="Y36">
        <v>0</v>
      </c>
      <c r="Z36">
        <v>42441</v>
      </c>
      <c r="AA36">
        <v>47</v>
      </c>
      <c r="AB36">
        <v>43.14</v>
      </c>
      <c r="AC36" t="str">
        <f t="shared" si="0"/>
        <v>Small</v>
      </c>
      <c r="AD36" t="s">
        <v>575</v>
      </c>
      <c r="AE36" t="s">
        <v>38</v>
      </c>
      <c r="AF36" t="s">
        <v>66</v>
      </c>
      <c r="AG36" t="str">
        <f t="shared" si="1"/>
        <v>yes</v>
      </c>
      <c r="AH36" t="s">
        <v>44</v>
      </c>
      <c r="AI36" t="s">
        <v>574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 x14ac:dyDescent="0.3">
      <c r="A37" t="s">
        <v>645</v>
      </c>
      <c r="B37" t="s">
        <v>28</v>
      </c>
      <c r="C37" t="s">
        <v>469</v>
      </c>
      <c r="D37" t="s">
        <v>470</v>
      </c>
      <c r="E37" t="s">
        <v>471</v>
      </c>
      <c r="F37" t="s">
        <v>31</v>
      </c>
      <c r="G37">
        <v>43042</v>
      </c>
      <c r="H37">
        <v>0</v>
      </c>
      <c r="J37" t="s">
        <v>472</v>
      </c>
      <c r="K37" t="s">
        <v>473</v>
      </c>
      <c r="L37" t="s">
        <v>95</v>
      </c>
      <c r="N37" t="s">
        <v>41</v>
      </c>
      <c r="O37" t="s">
        <v>179</v>
      </c>
      <c r="P37">
        <v>935314484</v>
      </c>
      <c r="Q37">
        <v>371274000000000</v>
      </c>
      <c r="S37">
        <v>10303</v>
      </c>
      <c r="T37">
        <v>7349</v>
      </c>
      <c r="U37">
        <v>0</v>
      </c>
      <c r="V37">
        <v>1.3729166666666667E-2</v>
      </c>
      <c r="W37">
        <v>19.850000000000001</v>
      </c>
      <c r="X37" t="s">
        <v>131</v>
      </c>
      <c r="Y37">
        <v>0</v>
      </c>
      <c r="Z37">
        <v>42441</v>
      </c>
      <c r="AA37">
        <v>22</v>
      </c>
      <c r="AB37">
        <v>153.47</v>
      </c>
      <c r="AC37" t="str">
        <f t="shared" si="0"/>
        <v>Medium</v>
      </c>
      <c r="AD37" t="s">
        <v>575</v>
      </c>
      <c r="AE37" t="s">
        <v>38</v>
      </c>
      <c r="AF37" t="s">
        <v>66</v>
      </c>
      <c r="AG37" t="str">
        <f t="shared" si="1"/>
        <v>yes</v>
      </c>
      <c r="AH37" t="s">
        <v>58</v>
      </c>
      <c r="AI37" t="s">
        <v>572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1</v>
      </c>
    </row>
    <row r="38" spans="1:64" x14ac:dyDescent="0.3">
      <c r="A38" t="s">
        <v>651</v>
      </c>
      <c r="B38" t="s">
        <v>264</v>
      </c>
      <c r="C38" t="s">
        <v>496</v>
      </c>
      <c r="D38" t="s">
        <v>497</v>
      </c>
      <c r="E38" t="s">
        <v>498</v>
      </c>
      <c r="F38" t="s">
        <v>92</v>
      </c>
      <c r="G38">
        <v>59102</v>
      </c>
      <c r="H38">
        <v>0</v>
      </c>
      <c r="J38" t="s">
        <v>499</v>
      </c>
      <c r="K38" t="s">
        <v>500</v>
      </c>
      <c r="L38" t="s">
        <v>52</v>
      </c>
      <c r="N38" t="s">
        <v>501</v>
      </c>
      <c r="O38" t="s">
        <v>64</v>
      </c>
      <c r="P38">
        <v>250000000000000</v>
      </c>
      <c r="Q38">
        <v>4053410000000000</v>
      </c>
      <c r="S38">
        <v>10327</v>
      </c>
      <c r="T38">
        <v>6887</v>
      </c>
      <c r="U38">
        <v>0</v>
      </c>
      <c r="V38">
        <v>1.3729166666666667E-2</v>
      </c>
      <c r="W38">
        <v>23.78</v>
      </c>
      <c r="X38" t="s">
        <v>131</v>
      </c>
      <c r="Y38">
        <v>0</v>
      </c>
      <c r="Z38">
        <v>42441</v>
      </c>
      <c r="AA38">
        <v>65</v>
      </c>
      <c r="AB38">
        <v>242</v>
      </c>
      <c r="AC38" t="str">
        <f t="shared" si="0"/>
        <v>Medium</v>
      </c>
      <c r="AD38" t="s">
        <v>575</v>
      </c>
      <c r="AE38" t="s">
        <v>43</v>
      </c>
      <c r="AF38" t="s">
        <v>39</v>
      </c>
      <c r="AG38" t="str">
        <f t="shared" si="1"/>
        <v>yes</v>
      </c>
      <c r="AH38" t="s">
        <v>58</v>
      </c>
      <c r="AI38" t="s">
        <v>573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1</v>
      </c>
      <c r="BD38">
        <v>1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1</v>
      </c>
      <c r="BK38">
        <v>0</v>
      </c>
      <c r="BL38">
        <v>1</v>
      </c>
    </row>
    <row r="39" spans="1:64" x14ac:dyDescent="0.3">
      <c r="A39" t="s">
        <v>579</v>
      </c>
      <c r="B39" t="s">
        <v>28</v>
      </c>
      <c r="C39" t="s">
        <v>580</v>
      </c>
      <c r="D39" t="s">
        <v>29</v>
      </c>
      <c r="E39" t="s">
        <v>30</v>
      </c>
      <c r="F39" t="s">
        <v>31</v>
      </c>
      <c r="G39">
        <v>6040</v>
      </c>
      <c r="H39">
        <v>0</v>
      </c>
      <c r="J39" t="s">
        <v>32</v>
      </c>
      <c r="K39" t="s">
        <v>33</v>
      </c>
      <c r="L39" t="s">
        <v>34</v>
      </c>
      <c r="N39" t="s">
        <v>35</v>
      </c>
      <c r="O39" t="s">
        <v>36</v>
      </c>
      <c r="P39">
        <v>22867928</v>
      </c>
      <c r="Q39">
        <v>5151800000000000</v>
      </c>
      <c r="S39">
        <v>10003</v>
      </c>
      <c r="T39">
        <v>2948</v>
      </c>
      <c r="U39">
        <v>0</v>
      </c>
      <c r="V39">
        <v>9.6597222222222223E-3</v>
      </c>
      <c r="W39">
        <v>17.87</v>
      </c>
      <c r="X39" t="s">
        <v>41</v>
      </c>
      <c r="Y39">
        <v>0</v>
      </c>
      <c r="Z39">
        <v>42456</v>
      </c>
      <c r="AA39">
        <v>27</v>
      </c>
      <c r="AB39">
        <v>53.4</v>
      </c>
      <c r="AC39" t="str">
        <f t="shared" si="0"/>
        <v>Small</v>
      </c>
      <c r="AD39" t="s">
        <v>576</v>
      </c>
      <c r="AE39" t="s">
        <v>38</v>
      </c>
      <c r="AF39" t="s">
        <v>39</v>
      </c>
      <c r="AG39" t="str">
        <f t="shared" si="1"/>
        <v>no</v>
      </c>
      <c r="AH39" t="s">
        <v>40</v>
      </c>
      <c r="AI39" t="s">
        <v>571</v>
      </c>
      <c r="AJ39">
        <v>0</v>
      </c>
      <c r="AK39">
        <v>0</v>
      </c>
      <c r="AL39">
        <v>1</v>
      </c>
      <c r="AM39">
        <v>0</v>
      </c>
      <c r="AN39">
        <v>1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 x14ac:dyDescent="0.3">
      <c r="A40" t="s">
        <v>584</v>
      </c>
      <c r="B40" t="s">
        <v>28</v>
      </c>
      <c r="C40" t="s">
        <v>70</v>
      </c>
      <c r="D40" t="s">
        <v>71</v>
      </c>
      <c r="F40" t="s">
        <v>72</v>
      </c>
      <c r="G40">
        <v>37511</v>
      </c>
      <c r="H40">
        <v>0</v>
      </c>
      <c r="J40" t="s">
        <v>73</v>
      </c>
      <c r="K40" t="s">
        <v>74</v>
      </c>
      <c r="L40" t="s">
        <v>75</v>
      </c>
      <c r="N40" t="s">
        <v>76</v>
      </c>
      <c r="O40" t="s">
        <v>31</v>
      </c>
      <c r="P40" t="s">
        <v>77</v>
      </c>
      <c r="Q40">
        <v>6011080000000000</v>
      </c>
      <c r="S40">
        <v>10019</v>
      </c>
      <c r="T40">
        <v>2488</v>
      </c>
      <c r="U40">
        <v>0</v>
      </c>
      <c r="V40">
        <v>9.6597222222222223E-3</v>
      </c>
      <c r="W40">
        <v>2.87</v>
      </c>
      <c r="X40" t="s">
        <v>41</v>
      </c>
      <c r="Y40">
        <v>0</v>
      </c>
      <c r="Z40">
        <v>42456</v>
      </c>
      <c r="AA40">
        <v>53</v>
      </c>
      <c r="AB40">
        <v>14.36</v>
      </c>
      <c r="AC40" t="str">
        <f t="shared" si="0"/>
        <v>Small</v>
      </c>
      <c r="AD40" t="s">
        <v>575</v>
      </c>
      <c r="AE40" t="s">
        <v>38</v>
      </c>
      <c r="AF40" t="s">
        <v>66</v>
      </c>
      <c r="AG40" t="str">
        <f t="shared" si="1"/>
        <v>yes</v>
      </c>
      <c r="AH40" t="s">
        <v>44</v>
      </c>
      <c r="AI40" t="s">
        <v>573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 x14ac:dyDescent="0.3">
      <c r="A41" t="s">
        <v>636</v>
      </c>
      <c r="B41" t="s">
        <v>28</v>
      </c>
      <c r="C41" t="s">
        <v>424</v>
      </c>
      <c r="D41" t="s">
        <v>425</v>
      </c>
      <c r="E41" t="s">
        <v>156</v>
      </c>
      <c r="F41" t="s">
        <v>92</v>
      </c>
      <c r="G41">
        <v>70806</v>
      </c>
      <c r="H41">
        <v>0</v>
      </c>
      <c r="J41" t="s">
        <v>426</v>
      </c>
      <c r="K41" t="s">
        <v>427</v>
      </c>
      <c r="L41" t="s">
        <v>52</v>
      </c>
      <c r="N41" t="s">
        <v>428</v>
      </c>
      <c r="O41" t="s">
        <v>64</v>
      </c>
      <c r="P41">
        <v>739000000000000</v>
      </c>
      <c r="Q41">
        <v>4454480000000000</v>
      </c>
      <c r="S41">
        <v>10259</v>
      </c>
      <c r="T41">
        <v>8175</v>
      </c>
      <c r="U41">
        <v>0</v>
      </c>
      <c r="V41">
        <v>2.7155092592592592E-2</v>
      </c>
      <c r="W41">
        <v>6.87</v>
      </c>
      <c r="X41" t="s">
        <v>245</v>
      </c>
      <c r="Y41">
        <v>0</v>
      </c>
      <c r="Z41">
        <v>42456</v>
      </c>
      <c r="AA41">
        <v>24</v>
      </c>
      <c r="AB41">
        <v>16.940000000000001</v>
      </c>
      <c r="AC41" t="str">
        <f t="shared" si="0"/>
        <v>Small</v>
      </c>
      <c r="AD41" t="s">
        <v>578</v>
      </c>
      <c r="AE41" t="s">
        <v>38</v>
      </c>
      <c r="AF41" t="s">
        <v>57</v>
      </c>
      <c r="AG41" t="str">
        <f t="shared" si="1"/>
        <v>no</v>
      </c>
      <c r="AH41" t="s">
        <v>44</v>
      </c>
      <c r="AI41" t="s">
        <v>571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 x14ac:dyDescent="0.3">
      <c r="A42" t="s">
        <v>592</v>
      </c>
      <c r="B42" t="s">
        <v>28</v>
      </c>
      <c r="C42" t="s">
        <v>146</v>
      </c>
      <c r="D42" t="s">
        <v>147</v>
      </c>
      <c r="F42" t="s">
        <v>72</v>
      </c>
      <c r="G42">
        <v>37340</v>
      </c>
      <c r="H42">
        <v>0</v>
      </c>
      <c r="J42" t="s">
        <v>148</v>
      </c>
      <c r="K42" t="s">
        <v>149</v>
      </c>
      <c r="L42" t="s">
        <v>52</v>
      </c>
      <c r="N42" t="s">
        <v>150</v>
      </c>
      <c r="O42" t="s">
        <v>64</v>
      </c>
      <c r="P42">
        <v>210000000000000</v>
      </c>
      <c r="Q42">
        <v>4621260000000000</v>
      </c>
      <c r="S42">
        <v>10059</v>
      </c>
      <c r="T42">
        <v>1985</v>
      </c>
      <c r="U42">
        <v>0</v>
      </c>
      <c r="V42">
        <v>1.7784722222222223E-2</v>
      </c>
      <c r="W42">
        <v>21.97</v>
      </c>
      <c r="X42" t="s">
        <v>151</v>
      </c>
      <c r="Y42">
        <v>0</v>
      </c>
      <c r="Z42">
        <v>42459</v>
      </c>
      <c r="AA42" t="s">
        <v>152</v>
      </c>
      <c r="AB42">
        <v>5.91</v>
      </c>
      <c r="AC42" t="str">
        <f t="shared" si="0"/>
        <v>Small</v>
      </c>
      <c r="AD42" t="s">
        <v>578</v>
      </c>
      <c r="AE42" t="s">
        <v>38</v>
      </c>
      <c r="AF42" t="s">
        <v>57</v>
      </c>
      <c r="AG42" t="str">
        <f t="shared" si="1"/>
        <v>no</v>
      </c>
      <c r="AH42" t="s">
        <v>44</v>
      </c>
      <c r="AI42" t="s">
        <v>572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 x14ac:dyDescent="0.3">
      <c r="A43" t="s">
        <v>635</v>
      </c>
      <c r="B43" t="s">
        <v>28</v>
      </c>
      <c r="C43" t="s">
        <v>417</v>
      </c>
      <c r="D43" t="s">
        <v>418</v>
      </c>
      <c r="E43" t="s">
        <v>419</v>
      </c>
      <c r="F43" t="s">
        <v>31</v>
      </c>
      <c r="G43">
        <v>7020</v>
      </c>
      <c r="H43">
        <v>0</v>
      </c>
      <c r="J43" t="s">
        <v>420</v>
      </c>
      <c r="K43" t="s">
        <v>421</v>
      </c>
      <c r="L43" t="s">
        <v>52</v>
      </c>
      <c r="N43" t="s">
        <v>45</v>
      </c>
      <c r="O43" t="s">
        <v>304</v>
      </c>
      <c r="P43" t="s">
        <v>422</v>
      </c>
      <c r="Q43">
        <v>4907840000000000</v>
      </c>
      <c r="S43">
        <v>10251</v>
      </c>
      <c r="T43">
        <v>4555</v>
      </c>
      <c r="U43">
        <v>0</v>
      </c>
      <c r="V43">
        <v>1.7784722222222223E-2</v>
      </c>
      <c r="W43">
        <v>12</v>
      </c>
      <c r="X43" t="s">
        <v>151</v>
      </c>
      <c r="Y43">
        <v>0</v>
      </c>
      <c r="Z43">
        <v>42459</v>
      </c>
      <c r="AA43">
        <v>52</v>
      </c>
      <c r="AB43">
        <v>50.43</v>
      </c>
      <c r="AC43" t="str">
        <f t="shared" si="0"/>
        <v>Small</v>
      </c>
      <c r="AD43" t="s">
        <v>575</v>
      </c>
      <c r="AE43" t="s">
        <v>38</v>
      </c>
      <c r="AF43" t="s">
        <v>66</v>
      </c>
      <c r="AG43" t="str">
        <f t="shared" si="1"/>
        <v>yes</v>
      </c>
      <c r="AH43" t="s">
        <v>44</v>
      </c>
      <c r="AI43" t="s">
        <v>573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 x14ac:dyDescent="0.3">
      <c r="A44" t="s">
        <v>651</v>
      </c>
      <c r="B44" t="s">
        <v>264</v>
      </c>
      <c r="C44" t="s">
        <v>496</v>
      </c>
      <c r="D44" t="s">
        <v>497</v>
      </c>
      <c r="E44" t="s">
        <v>498</v>
      </c>
      <c r="F44" t="s">
        <v>92</v>
      </c>
      <c r="G44">
        <v>59102</v>
      </c>
      <c r="H44">
        <v>0</v>
      </c>
      <c r="J44" t="s">
        <v>499</v>
      </c>
      <c r="K44" t="s">
        <v>500</v>
      </c>
      <c r="L44" t="s">
        <v>52</v>
      </c>
      <c r="N44" t="s">
        <v>501</v>
      </c>
      <c r="O44" t="s">
        <v>64</v>
      </c>
      <c r="P44">
        <v>250000000000000</v>
      </c>
      <c r="Q44">
        <v>4188580000000000</v>
      </c>
      <c r="S44">
        <v>10327</v>
      </c>
      <c r="T44">
        <v>7923</v>
      </c>
      <c r="U44">
        <v>0</v>
      </c>
      <c r="V44">
        <v>1.7784722222222223E-2</v>
      </c>
      <c r="W44">
        <v>13.33</v>
      </c>
      <c r="X44" t="s">
        <v>151</v>
      </c>
      <c r="Y44">
        <v>0</v>
      </c>
      <c r="Z44">
        <v>42459</v>
      </c>
      <c r="AA44">
        <v>65</v>
      </c>
      <c r="AB44">
        <v>243.61</v>
      </c>
      <c r="AC44" t="str">
        <f t="shared" si="0"/>
        <v>Medium</v>
      </c>
      <c r="AD44" t="s">
        <v>575</v>
      </c>
      <c r="AE44" t="s">
        <v>43</v>
      </c>
      <c r="AF44" t="s">
        <v>39</v>
      </c>
      <c r="AG44" t="str">
        <f t="shared" si="1"/>
        <v>yes</v>
      </c>
      <c r="AH44" t="s">
        <v>58</v>
      </c>
      <c r="AI44" t="s">
        <v>573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</row>
    <row r="45" spans="1:64" x14ac:dyDescent="0.3">
      <c r="A45" t="s">
        <v>604</v>
      </c>
      <c r="B45" t="s">
        <v>28</v>
      </c>
      <c r="C45" t="s">
        <v>238</v>
      </c>
      <c r="D45" t="s">
        <v>239</v>
      </c>
      <c r="E45" t="s">
        <v>240</v>
      </c>
      <c r="F45" t="s">
        <v>92</v>
      </c>
      <c r="G45">
        <v>60002</v>
      </c>
      <c r="H45">
        <v>0</v>
      </c>
      <c r="J45" t="s">
        <v>241</v>
      </c>
      <c r="K45" t="s">
        <v>242</v>
      </c>
      <c r="L45" t="s">
        <v>537</v>
      </c>
      <c r="N45" t="s">
        <v>243</v>
      </c>
      <c r="O45" t="s">
        <v>179</v>
      </c>
      <c r="P45">
        <v>518957246</v>
      </c>
      <c r="Q45">
        <v>3528450000000000</v>
      </c>
      <c r="S45">
        <v>10115</v>
      </c>
      <c r="T45">
        <v>479</v>
      </c>
      <c r="U45">
        <v>0</v>
      </c>
      <c r="V45">
        <v>1.5701388888888886E-2</v>
      </c>
      <c r="W45">
        <v>18.989999999999998</v>
      </c>
      <c r="X45" t="s">
        <v>150</v>
      </c>
      <c r="Y45">
        <v>0</v>
      </c>
      <c r="Z45">
        <v>42479</v>
      </c>
      <c r="AA45" t="s">
        <v>56</v>
      </c>
      <c r="AB45">
        <v>7.02</v>
      </c>
      <c r="AC45" t="str">
        <f t="shared" si="0"/>
        <v>Small</v>
      </c>
      <c r="AD45" t="s">
        <v>575</v>
      </c>
      <c r="AE45" t="s">
        <v>43</v>
      </c>
      <c r="AF45" t="s">
        <v>66</v>
      </c>
      <c r="AG45" t="str">
        <f t="shared" si="1"/>
        <v>yes</v>
      </c>
      <c r="AH45" t="s">
        <v>44</v>
      </c>
      <c r="AI45" t="s">
        <v>572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 x14ac:dyDescent="0.3">
      <c r="A46" t="s">
        <v>643</v>
      </c>
      <c r="B46" t="s">
        <v>99</v>
      </c>
      <c r="C46" t="s">
        <v>460</v>
      </c>
      <c r="D46" t="s">
        <v>461</v>
      </c>
      <c r="E46" t="s">
        <v>462</v>
      </c>
      <c r="F46" t="s">
        <v>92</v>
      </c>
      <c r="G46">
        <v>19020</v>
      </c>
      <c r="H46">
        <v>0</v>
      </c>
      <c r="J46" t="s">
        <v>463</v>
      </c>
      <c r="K46" t="s">
        <v>464</v>
      </c>
      <c r="L46" t="s">
        <v>537</v>
      </c>
      <c r="N46" t="s">
        <v>121</v>
      </c>
      <c r="O46" t="s">
        <v>179</v>
      </c>
      <c r="P46">
        <v>904601168</v>
      </c>
      <c r="Q46">
        <v>3528100000000000</v>
      </c>
      <c r="S46">
        <v>10295</v>
      </c>
      <c r="T46">
        <v>383</v>
      </c>
      <c r="U46">
        <v>0</v>
      </c>
      <c r="V46">
        <v>1.5701388888888886E-2</v>
      </c>
      <c r="W46">
        <v>11.15</v>
      </c>
      <c r="X46" t="s">
        <v>150</v>
      </c>
      <c r="Y46">
        <v>0</v>
      </c>
      <c r="Z46">
        <v>42479</v>
      </c>
      <c r="AA46">
        <v>48</v>
      </c>
      <c r="AB46">
        <v>13.27</v>
      </c>
      <c r="AC46" t="str">
        <f t="shared" si="0"/>
        <v>Small</v>
      </c>
      <c r="AD46" t="s">
        <v>575</v>
      </c>
      <c r="AE46" t="s">
        <v>38</v>
      </c>
      <c r="AF46" t="s">
        <v>66</v>
      </c>
      <c r="AG46" t="str">
        <f t="shared" si="1"/>
        <v>yes</v>
      </c>
      <c r="AH46" t="s">
        <v>44</v>
      </c>
      <c r="AI46" t="s">
        <v>574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 x14ac:dyDescent="0.3">
      <c r="A47" t="s">
        <v>590</v>
      </c>
      <c r="B47" t="s">
        <v>28</v>
      </c>
      <c r="C47" t="s">
        <v>124</v>
      </c>
      <c r="D47" t="s">
        <v>125</v>
      </c>
      <c r="E47" t="s">
        <v>126</v>
      </c>
      <c r="F47" t="s">
        <v>92</v>
      </c>
      <c r="G47">
        <v>87109</v>
      </c>
      <c r="H47">
        <v>0</v>
      </c>
      <c r="J47" t="s">
        <v>127</v>
      </c>
      <c r="K47" t="s">
        <v>128</v>
      </c>
      <c r="L47" t="s">
        <v>95</v>
      </c>
      <c r="N47" t="s">
        <v>129</v>
      </c>
      <c r="O47" t="s">
        <v>64</v>
      </c>
      <c r="P47">
        <v>176000000000000</v>
      </c>
      <c r="Q47">
        <v>343230000000000</v>
      </c>
      <c r="S47">
        <v>10051</v>
      </c>
      <c r="T47">
        <v>7945</v>
      </c>
      <c r="U47">
        <v>0</v>
      </c>
      <c r="V47">
        <v>3.3247685185185186E-2</v>
      </c>
      <c r="W47">
        <v>21.97</v>
      </c>
      <c r="X47" t="s">
        <v>136</v>
      </c>
      <c r="Y47">
        <v>0</v>
      </c>
      <c r="Z47">
        <v>42485</v>
      </c>
      <c r="AA47">
        <v>47</v>
      </c>
      <c r="AB47">
        <v>8.0399999999999991</v>
      </c>
      <c r="AC47" t="str">
        <f t="shared" si="0"/>
        <v>Small</v>
      </c>
      <c r="AD47" t="s">
        <v>578</v>
      </c>
      <c r="AE47" t="s">
        <v>38</v>
      </c>
      <c r="AF47" t="s">
        <v>66</v>
      </c>
      <c r="AG47" t="str">
        <f t="shared" si="1"/>
        <v>no</v>
      </c>
      <c r="AH47" t="s">
        <v>44</v>
      </c>
      <c r="AI47" t="s">
        <v>574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 x14ac:dyDescent="0.3">
      <c r="A48" t="s">
        <v>591</v>
      </c>
      <c r="B48" t="s">
        <v>99</v>
      </c>
      <c r="C48" t="s">
        <v>137</v>
      </c>
      <c r="D48" t="s">
        <v>138</v>
      </c>
      <c r="F48" t="s">
        <v>72</v>
      </c>
      <c r="G48">
        <v>3728</v>
      </c>
      <c r="H48">
        <v>0</v>
      </c>
      <c r="J48" t="s">
        <v>139</v>
      </c>
      <c r="K48" t="s">
        <v>140</v>
      </c>
      <c r="L48" t="s">
        <v>141</v>
      </c>
      <c r="N48" t="s">
        <v>142</v>
      </c>
      <c r="O48" t="s">
        <v>31</v>
      </c>
      <c r="P48" t="s">
        <v>143</v>
      </c>
      <c r="Q48">
        <v>36050000000000</v>
      </c>
      <c r="S48">
        <v>10055</v>
      </c>
      <c r="T48">
        <v>925</v>
      </c>
      <c r="U48">
        <v>0</v>
      </c>
      <c r="V48">
        <v>3.3247685185185186E-2</v>
      </c>
      <c r="W48">
        <v>19.25</v>
      </c>
      <c r="X48" t="s">
        <v>144</v>
      </c>
      <c r="Y48">
        <v>0</v>
      </c>
      <c r="Z48">
        <v>42485</v>
      </c>
      <c r="AA48">
        <v>24</v>
      </c>
      <c r="AB48">
        <v>32.11</v>
      </c>
      <c r="AC48" t="str">
        <f t="shared" si="0"/>
        <v>Small</v>
      </c>
      <c r="AD48" t="s">
        <v>578</v>
      </c>
      <c r="AE48" t="s">
        <v>38</v>
      </c>
      <c r="AF48" t="s">
        <v>57</v>
      </c>
      <c r="AG48" t="str">
        <f t="shared" si="1"/>
        <v>no</v>
      </c>
      <c r="AH48" t="s">
        <v>44</v>
      </c>
      <c r="AI48" t="s">
        <v>571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 x14ac:dyDescent="0.3">
      <c r="A49" t="s">
        <v>591</v>
      </c>
      <c r="B49" t="s">
        <v>99</v>
      </c>
      <c r="C49" t="s">
        <v>137</v>
      </c>
      <c r="D49" t="s">
        <v>138</v>
      </c>
      <c r="F49" t="s">
        <v>72</v>
      </c>
      <c r="G49">
        <v>3728</v>
      </c>
      <c r="H49">
        <v>0</v>
      </c>
      <c r="J49" t="s">
        <v>139</v>
      </c>
      <c r="K49" t="s">
        <v>140</v>
      </c>
      <c r="L49" t="s">
        <v>141</v>
      </c>
      <c r="N49" t="s">
        <v>142</v>
      </c>
      <c r="O49" t="s">
        <v>31</v>
      </c>
      <c r="P49" t="s">
        <v>143</v>
      </c>
      <c r="Q49">
        <v>36424900000000</v>
      </c>
      <c r="S49">
        <v>10055</v>
      </c>
      <c r="T49">
        <v>1282</v>
      </c>
      <c r="U49">
        <v>0</v>
      </c>
      <c r="V49">
        <v>3.3247685185185186E-2</v>
      </c>
      <c r="W49">
        <v>23.37</v>
      </c>
      <c r="X49" t="s">
        <v>144</v>
      </c>
      <c r="Y49">
        <v>0</v>
      </c>
      <c r="Z49">
        <v>42485</v>
      </c>
      <c r="AA49">
        <v>24</v>
      </c>
      <c r="AB49">
        <v>223.31</v>
      </c>
      <c r="AC49" t="str">
        <f t="shared" si="0"/>
        <v>Medium</v>
      </c>
      <c r="AD49" t="s">
        <v>575</v>
      </c>
      <c r="AE49" t="s">
        <v>38</v>
      </c>
      <c r="AF49" t="s">
        <v>57</v>
      </c>
      <c r="AG49" t="str">
        <f t="shared" si="1"/>
        <v>yes</v>
      </c>
      <c r="AH49" t="s">
        <v>58</v>
      </c>
      <c r="AI49" t="s">
        <v>571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1</v>
      </c>
      <c r="BL49">
        <v>1</v>
      </c>
    </row>
    <row r="50" spans="1:64" x14ac:dyDescent="0.3">
      <c r="A50" t="s">
        <v>613</v>
      </c>
      <c r="B50" t="s">
        <v>28</v>
      </c>
      <c r="C50" t="s">
        <v>299</v>
      </c>
      <c r="D50" t="s">
        <v>300</v>
      </c>
      <c r="E50" t="s">
        <v>301</v>
      </c>
      <c r="F50" t="s">
        <v>92</v>
      </c>
      <c r="G50">
        <v>23005</v>
      </c>
      <c r="H50">
        <v>0</v>
      </c>
      <c r="J50" t="s">
        <v>302</v>
      </c>
      <c r="K50" t="s">
        <v>303</v>
      </c>
      <c r="L50" t="s">
        <v>95</v>
      </c>
      <c r="N50" t="s">
        <v>68</v>
      </c>
      <c r="O50" t="s">
        <v>304</v>
      </c>
      <c r="P50" t="s">
        <v>305</v>
      </c>
      <c r="Q50">
        <v>344975000000000</v>
      </c>
      <c r="S50">
        <v>10155</v>
      </c>
      <c r="T50">
        <v>8471</v>
      </c>
      <c r="U50">
        <v>0</v>
      </c>
      <c r="V50">
        <v>3.3247685185185186E-2</v>
      </c>
      <c r="W50">
        <v>21.97</v>
      </c>
      <c r="X50" t="s">
        <v>144</v>
      </c>
      <c r="Y50">
        <v>0</v>
      </c>
      <c r="Z50">
        <v>42485</v>
      </c>
      <c r="AA50">
        <v>40</v>
      </c>
      <c r="AB50">
        <v>30.45</v>
      </c>
      <c r="AC50" t="str">
        <f t="shared" si="0"/>
        <v>Small</v>
      </c>
      <c r="AD50" t="s">
        <v>576</v>
      </c>
      <c r="AE50" t="s">
        <v>38</v>
      </c>
      <c r="AF50" t="s">
        <v>66</v>
      </c>
      <c r="AG50" t="str">
        <f t="shared" si="1"/>
        <v>no</v>
      </c>
      <c r="AH50" t="s">
        <v>44</v>
      </c>
      <c r="AI50" t="s">
        <v>571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 x14ac:dyDescent="0.3">
      <c r="A51" t="s">
        <v>636</v>
      </c>
      <c r="B51" t="s">
        <v>28</v>
      </c>
      <c r="C51" t="s">
        <v>424</v>
      </c>
      <c r="D51" t="s">
        <v>425</v>
      </c>
      <c r="E51" t="s">
        <v>156</v>
      </c>
      <c r="F51" t="s">
        <v>92</v>
      </c>
      <c r="G51">
        <v>70806</v>
      </c>
      <c r="H51">
        <v>0</v>
      </c>
      <c r="J51" t="s">
        <v>426</v>
      </c>
      <c r="K51" t="s">
        <v>427</v>
      </c>
      <c r="L51" t="s">
        <v>52</v>
      </c>
      <c r="N51" t="s">
        <v>428</v>
      </c>
      <c r="O51" t="s">
        <v>64</v>
      </c>
      <c r="P51">
        <v>739000000000000</v>
      </c>
      <c r="Q51">
        <v>4784850000000000</v>
      </c>
      <c r="S51">
        <v>10259</v>
      </c>
      <c r="T51">
        <v>1784</v>
      </c>
      <c r="U51">
        <v>0</v>
      </c>
      <c r="V51">
        <v>3.3247685185185186E-2</v>
      </c>
      <c r="W51">
        <v>9.2200000000000006</v>
      </c>
      <c r="X51" t="s">
        <v>136</v>
      </c>
      <c r="Y51">
        <v>0</v>
      </c>
      <c r="Z51">
        <v>42485</v>
      </c>
      <c r="AA51">
        <v>24</v>
      </c>
      <c r="AB51">
        <v>288.95</v>
      </c>
      <c r="AC51" t="str">
        <f t="shared" si="0"/>
        <v>Medium</v>
      </c>
      <c r="AD51" t="s">
        <v>577</v>
      </c>
      <c r="AE51" t="s">
        <v>38</v>
      </c>
      <c r="AF51" t="s">
        <v>57</v>
      </c>
      <c r="AG51" t="str">
        <f t="shared" si="1"/>
        <v>no</v>
      </c>
      <c r="AH51" t="s">
        <v>58</v>
      </c>
      <c r="AI51" t="s">
        <v>571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</row>
    <row r="52" spans="1:64" x14ac:dyDescent="0.3">
      <c r="A52" t="s">
        <v>644</v>
      </c>
      <c r="B52" t="s">
        <v>99</v>
      </c>
      <c r="C52" t="s">
        <v>465</v>
      </c>
      <c r="D52" t="s">
        <v>466</v>
      </c>
      <c r="F52" t="s">
        <v>49</v>
      </c>
      <c r="G52">
        <v>83471</v>
      </c>
      <c r="H52">
        <v>0</v>
      </c>
      <c r="J52" t="s">
        <v>467</v>
      </c>
      <c r="K52" t="s">
        <v>468</v>
      </c>
      <c r="L52" t="s">
        <v>141</v>
      </c>
      <c r="N52" t="s">
        <v>208</v>
      </c>
      <c r="O52" t="s">
        <v>179</v>
      </c>
      <c r="P52">
        <v>777215385</v>
      </c>
      <c r="Q52">
        <v>36726800000000</v>
      </c>
      <c r="S52">
        <v>10299</v>
      </c>
      <c r="T52">
        <v>8809</v>
      </c>
      <c r="U52">
        <v>0</v>
      </c>
      <c r="V52">
        <v>3.3247685185185186E-2</v>
      </c>
      <c r="W52">
        <v>21.97</v>
      </c>
      <c r="X52" t="s">
        <v>144</v>
      </c>
      <c r="Y52">
        <v>0</v>
      </c>
      <c r="Z52">
        <v>42485</v>
      </c>
      <c r="AA52">
        <v>41</v>
      </c>
      <c r="AB52">
        <v>47.57</v>
      </c>
      <c r="AC52" t="str">
        <f t="shared" si="0"/>
        <v>Small</v>
      </c>
      <c r="AD52" t="s">
        <v>575</v>
      </c>
      <c r="AE52" t="s">
        <v>38</v>
      </c>
      <c r="AF52" t="s">
        <v>66</v>
      </c>
      <c r="AG52" t="str">
        <f t="shared" si="1"/>
        <v>yes</v>
      </c>
      <c r="AH52" t="s">
        <v>44</v>
      </c>
      <c r="AI52" t="s">
        <v>571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 x14ac:dyDescent="0.3">
      <c r="A53" t="s">
        <v>606</v>
      </c>
      <c r="B53" t="s">
        <v>28</v>
      </c>
      <c r="C53" t="s">
        <v>255</v>
      </c>
      <c r="D53" t="s">
        <v>256</v>
      </c>
      <c r="E53" t="s">
        <v>240</v>
      </c>
      <c r="F53" t="s">
        <v>92</v>
      </c>
      <c r="G53">
        <v>54911</v>
      </c>
      <c r="H53">
        <v>0</v>
      </c>
      <c r="J53" t="s">
        <v>257</v>
      </c>
      <c r="K53" t="s">
        <v>258</v>
      </c>
      <c r="L53" t="s">
        <v>537</v>
      </c>
      <c r="N53" t="s">
        <v>259</v>
      </c>
      <c r="O53" t="s">
        <v>36</v>
      </c>
      <c r="P53">
        <v>229990001</v>
      </c>
      <c r="Q53">
        <v>3528880000000000</v>
      </c>
      <c r="S53">
        <v>10123</v>
      </c>
      <c r="T53">
        <v>7989</v>
      </c>
      <c r="U53">
        <v>0</v>
      </c>
      <c r="V53">
        <v>3.3282407407407406E-2</v>
      </c>
      <c r="W53">
        <v>17.23</v>
      </c>
      <c r="X53" t="s">
        <v>221</v>
      </c>
      <c r="Y53">
        <v>0</v>
      </c>
      <c r="Z53">
        <v>42489</v>
      </c>
      <c r="AA53">
        <v>20</v>
      </c>
      <c r="AB53">
        <v>30.5</v>
      </c>
      <c r="AC53" t="str">
        <f t="shared" si="0"/>
        <v>Small</v>
      </c>
      <c r="AD53" t="s">
        <v>575</v>
      </c>
      <c r="AE53" t="s">
        <v>43</v>
      </c>
      <c r="AF53" t="s">
        <v>57</v>
      </c>
      <c r="AG53" t="str">
        <f t="shared" si="1"/>
        <v>yes</v>
      </c>
      <c r="AH53" t="s">
        <v>44</v>
      </c>
      <c r="AI53" t="s">
        <v>572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1</v>
      </c>
      <c r="AW53">
        <v>1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 x14ac:dyDescent="0.3">
      <c r="A54" t="s">
        <v>611</v>
      </c>
      <c r="B54" t="s">
        <v>28</v>
      </c>
      <c r="C54" t="s">
        <v>287</v>
      </c>
      <c r="D54" t="s">
        <v>288</v>
      </c>
      <c r="F54" t="s">
        <v>49</v>
      </c>
      <c r="G54">
        <v>6431</v>
      </c>
      <c r="H54">
        <v>0</v>
      </c>
      <c r="J54" t="s">
        <v>289</v>
      </c>
      <c r="K54" t="s">
        <v>290</v>
      </c>
      <c r="L54" t="s">
        <v>537</v>
      </c>
      <c r="N54" t="s">
        <v>159</v>
      </c>
      <c r="O54" t="s">
        <v>31</v>
      </c>
      <c r="P54" t="s">
        <v>291</v>
      </c>
      <c r="Q54">
        <v>3528670000000000</v>
      </c>
      <c r="S54">
        <v>10147</v>
      </c>
      <c r="T54">
        <v>1102</v>
      </c>
      <c r="U54">
        <v>0</v>
      </c>
      <c r="V54">
        <v>3.3282407407407406E-2</v>
      </c>
      <c r="W54">
        <v>8.99</v>
      </c>
      <c r="X54" t="s">
        <v>221</v>
      </c>
      <c r="Y54">
        <v>0</v>
      </c>
      <c r="Z54">
        <v>42489</v>
      </c>
      <c r="AA54" t="s">
        <v>292</v>
      </c>
      <c r="AB54">
        <v>6.47</v>
      </c>
      <c r="AC54" t="str">
        <f t="shared" si="0"/>
        <v>Small</v>
      </c>
      <c r="AD54" t="s">
        <v>575</v>
      </c>
      <c r="AE54" t="s">
        <v>38</v>
      </c>
      <c r="AF54" t="s">
        <v>57</v>
      </c>
      <c r="AG54" t="str">
        <f t="shared" si="1"/>
        <v>yes</v>
      </c>
      <c r="AH54" t="s">
        <v>44</v>
      </c>
      <c r="AI54" t="s">
        <v>572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1</v>
      </c>
      <c r="AW54">
        <v>1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 x14ac:dyDescent="0.3">
      <c r="A55" t="s">
        <v>637</v>
      </c>
      <c r="B55" t="s">
        <v>28</v>
      </c>
      <c r="C55" t="s">
        <v>429</v>
      </c>
      <c r="D55" t="s">
        <v>430</v>
      </c>
      <c r="F55" t="s">
        <v>72</v>
      </c>
      <c r="G55">
        <v>20200</v>
      </c>
      <c r="H55">
        <v>0</v>
      </c>
      <c r="J55" t="s">
        <v>431</v>
      </c>
      <c r="K55" t="s">
        <v>432</v>
      </c>
      <c r="L55" t="s">
        <v>75</v>
      </c>
      <c r="N55" t="s">
        <v>202</v>
      </c>
      <c r="O55" t="s">
        <v>64</v>
      </c>
      <c r="P55">
        <v>163000000000000</v>
      </c>
      <c r="Q55">
        <v>6011770000000000</v>
      </c>
      <c r="S55">
        <v>10263</v>
      </c>
      <c r="T55">
        <v>6966</v>
      </c>
      <c r="U55">
        <v>0</v>
      </c>
      <c r="V55">
        <v>3.3282407407407406E-2</v>
      </c>
      <c r="W55">
        <v>8.99</v>
      </c>
      <c r="X55" t="s">
        <v>221</v>
      </c>
      <c r="Y55">
        <v>0</v>
      </c>
      <c r="Z55">
        <v>42489</v>
      </c>
      <c r="AA55">
        <v>69</v>
      </c>
      <c r="AB55">
        <v>192.48</v>
      </c>
      <c r="AC55" t="str">
        <f t="shared" si="0"/>
        <v>Medium</v>
      </c>
      <c r="AD55" t="s">
        <v>575</v>
      </c>
      <c r="AE55" t="s">
        <v>43</v>
      </c>
      <c r="AF55" t="s">
        <v>39</v>
      </c>
      <c r="AG55" t="str">
        <f t="shared" si="1"/>
        <v>yes</v>
      </c>
      <c r="AH55" t="s">
        <v>58</v>
      </c>
      <c r="AI55" t="s">
        <v>573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1</v>
      </c>
      <c r="BL55">
        <v>1</v>
      </c>
    </row>
    <row r="56" spans="1:64" x14ac:dyDescent="0.3">
      <c r="A56" t="s">
        <v>596</v>
      </c>
      <c r="B56" t="s">
        <v>28</v>
      </c>
      <c r="C56" t="s">
        <v>176</v>
      </c>
      <c r="D56" t="s">
        <v>177</v>
      </c>
      <c r="E56" t="s">
        <v>178</v>
      </c>
      <c r="F56" t="s">
        <v>179</v>
      </c>
      <c r="G56" t="s">
        <v>180</v>
      </c>
      <c r="H56">
        <v>0</v>
      </c>
      <c r="J56" t="s">
        <v>181</v>
      </c>
      <c r="K56" t="s">
        <v>182</v>
      </c>
      <c r="L56" t="s">
        <v>95</v>
      </c>
      <c r="N56" t="s">
        <v>183</v>
      </c>
      <c r="O56" t="s">
        <v>72</v>
      </c>
      <c r="P56" t="s">
        <v>184</v>
      </c>
      <c r="Q56">
        <v>377233000000000</v>
      </c>
      <c r="S56">
        <v>10079</v>
      </c>
      <c r="T56">
        <v>3545</v>
      </c>
      <c r="U56">
        <v>0</v>
      </c>
      <c r="V56">
        <v>4.0039351851851854E-2</v>
      </c>
      <c r="W56">
        <v>6.37</v>
      </c>
      <c r="X56" t="s">
        <v>185</v>
      </c>
      <c r="Y56">
        <v>0</v>
      </c>
      <c r="Z56">
        <v>42490</v>
      </c>
      <c r="AA56">
        <v>19</v>
      </c>
      <c r="AB56">
        <v>20.37</v>
      </c>
      <c r="AC56" t="str">
        <f t="shared" si="0"/>
        <v>Small</v>
      </c>
      <c r="AD56" t="s">
        <v>575</v>
      </c>
      <c r="AE56" t="s">
        <v>38</v>
      </c>
      <c r="AF56" t="s">
        <v>39</v>
      </c>
      <c r="AG56" t="str">
        <f t="shared" si="1"/>
        <v>yes</v>
      </c>
      <c r="AH56" t="s">
        <v>44</v>
      </c>
      <c r="AI56" t="s">
        <v>572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 x14ac:dyDescent="0.3">
      <c r="A57" t="s">
        <v>605</v>
      </c>
      <c r="B57" t="s">
        <v>28</v>
      </c>
      <c r="C57" t="s">
        <v>247</v>
      </c>
      <c r="D57" t="s">
        <v>248</v>
      </c>
      <c r="E57" t="s">
        <v>249</v>
      </c>
      <c r="F57" t="s">
        <v>31</v>
      </c>
      <c r="G57">
        <v>22070</v>
      </c>
      <c r="H57">
        <v>0</v>
      </c>
      <c r="J57" t="s">
        <v>250</v>
      </c>
      <c r="K57" t="s">
        <v>251</v>
      </c>
      <c r="L57" t="s">
        <v>537</v>
      </c>
      <c r="N57" t="s">
        <v>252</v>
      </c>
      <c r="O57" t="s">
        <v>31</v>
      </c>
      <c r="P57" t="s">
        <v>253</v>
      </c>
      <c r="Q57">
        <v>3528080000000000</v>
      </c>
      <c r="S57">
        <v>10119</v>
      </c>
      <c r="T57">
        <v>1969</v>
      </c>
      <c r="U57">
        <v>0</v>
      </c>
      <c r="V57">
        <v>4.0039351851851854E-2</v>
      </c>
      <c r="W57">
        <v>26.87</v>
      </c>
      <c r="X57" t="s">
        <v>185</v>
      </c>
      <c r="Y57">
        <v>0</v>
      </c>
      <c r="Z57">
        <v>42490</v>
      </c>
      <c r="AA57">
        <v>49</v>
      </c>
      <c r="AB57">
        <v>39.74</v>
      </c>
      <c r="AC57" t="str">
        <f t="shared" si="0"/>
        <v>Small</v>
      </c>
      <c r="AD57" t="s">
        <v>575</v>
      </c>
      <c r="AE57" t="s">
        <v>38</v>
      </c>
      <c r="AF57" t="s">
        <v>66</v>
      </c>
      <c r="AG57" t="str">
        <f t="shared" si="1"/>
        <v>yes</v>
      </c>
      <c r="AH57" t="s">
        <v>44</v>
      </c>
      <c r="AI57" t="s">
        <v>574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1</v>
      </c>
      <c r="AW57">
        <v>1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 x14ac:dyDescent="0.3">
      <c r="A58" t="s">
        <v>629</v>
      </c>
      <c r="B58" t="s">
        <v>28</v>
      </c>
      <c r="C58" t="s">
        <v>389</v>
      </c>
      <c r="D58" t="s">
        <v>390</v>
      </c>
      <c r="E58" t="s">
        <v>391</v>
      </c>
      <c r="F58" t="s">
        <v>218</v>
      </c>
      <c r="G58">
        <v>3340</v>
      </c>
      <c r="H58">
        <v>0</v>
      </c>
      <c r="J58" t="s">
        <v>392</v>
      </c>
      <c r="K58" t="s">
        <v>393</v>
      </c>
      <c r="L58" t="s">
        <v>141</v>
      </c>
      <c r="N58" t="s">
        <v>105</v>
      </c>
      <c r="O58" t="s">
        <v>179</v>
      </c>
      <c r="P58">
        <v>329443600</v>
      </c>
      <c r="Q58">
        <v>36204600000000</v>
      </c>
      <c r="S58">
        <v>10227</v>
      </c>
      <c r="T58">
        <v>2083</v>
      </c>
      <c r="U58">
        <v>0</v>
      </c>
      <c r="V58">
        <v>4.0039351851851854E-2</v>
      </c>
      <c r="W58">
        <v>8.99</v>
      </c>
      <c r="X58" t="s">
        <v>185</v>
      </c>
      <c r="Y58">
        <v>0</v>
      </c>
      <c r="Z58">
        <v>42490</v>
      </c>
      <c r="AA58">
        <v>36</v>
      </c>
      <c r="AB58">
        <v>350</v>
      </c>
      <c r="AC58" t="str">
        <f t="shared" si="0"/>
        <v>Large</v>
      </c>
      <c r="AD58" t="s">
        <v>575</v>
      </c>
      <c r="AE58" t="s">
        <v>38</v>
      </c>
      <c r="AF58" t="s">
        <v>66</v>
      </c>
      <c r="AG58" t="str">
        <f t="shared" si="1"/>
        <v>yes</v>
      </c>
      <c r="AH58" t="s">
        <v>44</v>
      </c>
      <c r="AI58" t="s">
        <v>571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 x14ac:dyDescent="0.3">
      <c r="A59" t="s">
        <v>650</v>
      </c>
      <c r="B59" t="s">
        <v>28</v>
      </c>
      <c r="C59" t="s">
        <v>491</v>
      </c>
      <c r="D59" t="s">
        <v>492</v>
      </c>
      <c r="F59" t="s">
        <v>49</v>
      </c>
      <c r="G59">
        <v>56370</v>
      </c>
      <c r="H59">
        <v>0</v>
      </c>
      <c r="J59" t="s">
        <v>493</v>
      </c>
      <c r="K59" t="s">
        <v>494</v>
      </c>
      <c r="L59" t="s">
        <v>141</v>
      </c>
      <c r="N59" t="s">
        <v>35</v>
      </c>
      <c r="O59" t="s">
        <v>72</v>
      </c>
      <c r="P59" t="s">
        <v>495</v>
      </c>
      <c r="Q59">
        <v>36553100000000</v>
      </c>
      <c r="S59">
        <v>10323</v>
      </c>
      <c r="T59">
        <v>8207</v>
      </c>
      <c r="U59">
        <v>0</v>
      </c>
      <c r="V59">
        <v>2.2910879629629632E-2</v>
      </c>
      <c r="W59">
        <v>13.88</v>
      </c>
      <c r="X59" t="s">
        <v>363</v>
      </c>
      <c r="Y59">
        <v>0</v>
      </c>
      <c r="Z59">
        <v>42491</v>
      </c>
      <c r="AA59" t="s">
        <v>56</v>
      </c>
      <c r="AB59">
        <v>30.69</v>
      </c>
      <c r="AC59" t="str">
        <f t="shared" si="0"/>
        <v>Small</v>
      </c>
      <c r="AD59" t="s">
        <v>575</v>
      </c>
      <c r="AE59" t="s">
        <v>43</v>
      </c>
      <c r="AF59" t="s">
        <v>57</v>
      </c>
      <c r="AG59" t="str">
        <f t="shared" si="1"/>
        <v>yes</v>
      </c>
      <c r="AH59" t="s">
        <v>44</v>
      </c>
      <c r="AI59" t="s">
        <v>572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1</v>
      </c>
      <c r="AW59">
        <v>1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 x14ac:dyDescent="0.3">
      <c r="A60" t="s">
        <v>583</v>
      </c>
      <c r="B60" t="s">
        <v>28</v>
      </c>
      <c r="C60" t="s">
        <v>59</v>
      </c>
      <c r="D60" t="s">
        <v>60</v>
      </c>
      <c r="E60" t="s">
        <v>61</v>
      </c>
      <c r="F60" t="s">
        <v>31</v>
      </c>
      <c r="G60">
        <v>88041</v>
      </c>
      <c r="H60">
        <v>0</v>
      </c>
      <c r="J60" t="s">
        <v>62</v>
      </c>
      <c r="K60" t="s">
        <v>63</v>
      </c>
      <c r="L60" t="s">
        <v>52</v>
      </c>
      <c r="N60" t="s">
        <v>46</v>
      </c>
      <c r="O60" t="s">
        <v>64</v>
      </c>
      <c r="P60">
        <v>148000000000000</v>
      </c>
      <c r="Q60">
        <v>4662810000000000</v>
      </c>
      <c r="S60">
        <v>10015</v>
      </c>
      <c r="T60">
        <v>627</v>
      </c>
      <c r="U60">
        <v>3.2928240740740737E-2</v>
      </c>
      <c r="V60">
        <v>3.2932870370370369E-2</v>
      </c>
      <c r="W60">
        <v>6.37</v>
      </c>
      <c r="X60" t="s">
        <v>65</v>
      </c>
      <c r="Y60">
        <v>3.2928240740740737E-2</v>
      </c>
      <c r="Z60">
        <v>42498</v>
      </c>
      <c r="AA60">
        <v>60</v>
      </c>
      <c r="AB60">
        <v>40.340000000000003</v>
      </c>
      <c r="AC60" t="str">
        <f t="shared" si="0"/>
        <v>Small</v>
      </c>
      <c r="AD60" t="s">
        <v>575</v>
      </c>
      <c r="AE60" t="s">
        <v>38</v>
      </c>
      <c r="AF60" t="s">
        <v>66</v>
      </c>
      <c r="AG60" t="str">
        <f t="shared" si="1"/>
        <v>yes</v>
      </c>
      <c r="AH60" t="s">
        <v>44</v>
      </c>
      <c r="AI60" t="s">
        <v>573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1</v>
      </c>
      <c r="AW60">
        <v>1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 x14ac:dyDescent="0.3">
      <c r="A61" t="s">
        <v>601</v>
      </c>
      <c r="B61" t="s">
        <v>99</v>
      </c>
      <c r="C61" t="s">
        <v>215</v>
      </c>
      <c r="D61" t="s">
        <v>216</v>
      </c>
      <c r="E61" t="s">
        <v>217</v>
      </c>
      <c r="F61" t="s">
        <v>218</v>
      </c>
      <c r="G61">
        <v>5255</v>
      </c>
      <c r="H61">
        <v>0</v>
      </c>
      <c r="J61" t="s">
        <v>219</v>
      </c>
      <c r="K61" t="s">
        <v>220</v>
      </c>
      <c r="L61" t="s">
        <v>95</v>
      </c>
      <c r="N61" t="s">
        <v>221</v>
      </c>
      <c r="O61" t="s">
        <v>31</v>
      </c>
      <c r="P61" t="s">
        <v>222</v>
      </c>
      <c r="Q61">
        <v>345633000000000</v>
      </c>
      <c r="S61">
        <v>10103</v>
      </c>
      <c r="T61">
        <v>4942</v>
      </c>
      <c r="U61">
        <v>3.2928240740740737E-2</v>
      </c>
      <c r="V61">
        <v>3.2932870370370369E-2</v>
      </c>
      <c r="W61">
        <v>18.45</v>
      </c>
      <c r="X61" t="s">
        <v>224</v>
      </c>
      <c r="Y61">
        <v>3.2928240740740737E-2</v>
      </c>
      <c r="Z61">
        <v>42498</v>
      </c>
      <c r="AA61">
        <v>51</v>
      </c>
      <c r="AB61">
        <v>33.700000000000003</v>
      </c>
      <c r="AC61" t="str">
        <f t="shared" si="0"/>
        <v>Small</v>
      </c>
      <c r="AD61" t="s">
        <v>578</v>
      </c>
      <c r="AE61" t="s">
        <v>38</v>
      </c>
      <c r="AF61" t="s">
        <v>66</v>
      </c>
      <c r="AG61" t="str">
        <f t="shared" si="1"/>
        <v>no</v>
      </c>
      <c r="AH61" t="s">
        <v>44</v>
      </c>
      <c r="AI61" t="s">
        <v>574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 x14ac:dyDescent="0.3">
      <c r="A62" t="s">
        <v>604</v>
      </c>
      <c r="B62" t="s">
        <v>28</v>
      </c>
      <c r="C62" t="s">
        <v>238</v>
      </c>
      <c r="D62" t="s">
        <v>239</v>
      </c>
      <c r="E62" t="s">
        <v>240</v>
      </c>
      <c r="F62" t="s">
        <v>92</v>
      </c>
      <c r="G62">
        <v>60002</v>
      </c>
      <c r="H62">
        <v>0</v>
      </c>
      <c r="J62" t="s">
        <v>241</v>
      </c>
      <c r="K62" t="s">
        <v>242</v>
      </c>
      <c r="L62" t="s">
        <v>537</v>
      </c>
      <c r="N62" t="s">
        <v>243</v>
      </c>
      <c r="O62" t="s">
        <v>179</v>
      </c>
      <c r="P62">
        <v>518957246</v>
      </c>
      <c r="Q62">
        <v>3528250000000000</v>
      </c>
      <c r="S62">
        <v>10115</v>
      </c>
      <c r="T62">
        <v>1059</v>
      </c>
      <c r="U62">
        <v>3.2928240740740737E-2</v>
      </c>
      <c r="V62">
        <v>3.2932870370370369E-2</v>
      </c>
      <c r="W62">
        <v>27.97</v>
      </c>
      <c r="X62" t="s">
        <v>244</v>
      </c>
      <c r="Y62">
        <v>3.2928240740740737E-2</v>
      </c>
      <c r="Z62">
        <v>42498</v>
      </c>
      <c r="AA62" t="s">
        <v>56</v>
      </c>
      <c r="AB62">
        <v>127.03</v>
      </c>
      <c r="AC62" t="str">
        <f t="shared" si="0"/>
        <v>Medium</v>
      </c>
      <c r="AD62" t="s">
        <v>578</v>
      </c>
      <c r="AE62" t="s">
        <v>38</v>
      </c>
      <c r="AF62" t="s">
        <v>66</v>
      </c>
      <c r="AG62" t="str">
        <f t="shared" si="1"/>
        <v>no</v>
      </c>
      <c r="AH62" t="s">
        <v>40</v>
      </c>
      <c r="AI62" t="s">
        <v>572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 x14ac:dyDescent="0.3">
      <c r="A63" t="s">
        <v>608</v>
      </c>
      <c r="B63" t="s">
        <v>264</v>
      </c>
      <c r="C63" t="s">
        <v>265</v>
      </c>
      <c r="D63" t="s">
        <v>266</v>
      </c>
      <c r="E63" t="s">
        <v>267</v>
      </c>
      <c r="F63" t="s">
        <v>218</v>
      </c>
      <c r="G63">
        <v>2284</v>
      </c>
      <c r="H63">
        <v>0</v>
      </c>
      <c r="J63" t="s">
        <v>268</v>
      </c>
      <c r="K63" t="s">
        <v>269</v>
      </c>
      <c r="L63" t="s">
        <v>141</v>
      </c>
      <c r="N63" t="s">
        <v>270</v>
      </c>
      <c r="O63" t="s">
        <v>31</v>
      </c>
      <c r="P63" t="s">
        <v>271</v>
      </c>
      <c r="Q63">
        <v>36452900000000</v>
      </c>
      <c r="S63">
        <v>10131</v>
      </c>
      <c r="T63">
        <v>7982</v>
      </c>
      <c r="U63">
        <v>3.2928240740740737E-2</v>
      </c>
      <c r="V63">
        <v>3.2932870370370369E-2</v>
      </c>
      <c r="W63">
        <v>23.12</v>
      </c>
      <c r="X63" t="s">
        <v>273</v>
      </c>
      <c r="Y63">
        <v>3.2928240740740737E-2</v>
      </c>
      <c r="Z63">
        <v>42498</v>
      </c>
      <c r="AA63">
        <v>78</v>
      </c>
      <c r="AB63">
        <v>205.85</v>
      </c>
      <c r="AC63" t="str">
        <f t="shared" si="0"/>
        <v>Medium</v>
      </c>
      <c r="AD63" t="s">
        <v>575</v>
      </c>
      <c r="AE63" t="s">
        <v>43</v>
      </c>
      <c r="AF63" t="s">
        <v>39</v>
      </c>
      <c r="AG63" t="str">
        <f t="shared" si="1"/>
        <v>yes</v>
      </c>
      <c r="AH63" t="s">
        <v>58</v>
      </c>
      <c r="AI63" t="s">
        <v>573</v>
      </c>
      <c r="AJ63">
        <v>0</v>
      </c>
      <c r="AK63">
        <v>0</v>
      </c>
      <c r="AL63">
        <v>1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1</v>
      </c>
      <c r="BL63">
        <v>1</v>
      </c>
    </row>
    <row r="64" spans="1:64" x14ac:dyDescent="0.3">
      <c r="A64" t="s">
        <v>610</v>
      </c>
      <c r="B64" t="s">
        <v>99</v>
      </c>
      <c r="C64" t="s">
        <v>281</v>
      </c>
      <c r="D64" t="s">
        <v>275</v>
      </c>
      <c r="E64" t="s">
        <v>282</v>
      </c>
      <c r="F64" t="s">
        <v>92</v>
      </c>
      <c r="G64">
        <v>68002</v>
      </c>
      <c r="H64">
        <v>0</v>
      </c>
      <c r="J64" t="s">
        <v>283</v>
      </c>
      <c r="K64" t="s">
        <v>284</v>
      </c>
      <c r="L64" t="s">
        <v>52</v>
      </c>
      <c r="N64" t="s">
        <v>285</v>
      </c>
      <c r="O64" t="s">
        <v>36</v>
      </c>
      <c r="P64">
        <v>492230001</v>
      </c>
      <c r="Q64">
        <v>4929780000000000</v>
      </c>
      <c r="S64">
        <v>10139</v>
      </c>
      <c r="T64">
        <v>6973</v>
      </c>
      <c r="U64">
        <v>3.2928240740740737E-2</v>
      </c>
      <c r="V64">
        <v>3.2932870370370369E-2</v>
      </c>
      <c r="W64">
        <v>13.82</v>
      </c>
      <c r="X64" t="s">
        <v>65</v>
      </c>
      <c r="Y64">
        <v>3.2928240740740737E-2</v>
      </c>
      <c r="Z64">
        <v>42498</v>
      </c>
      <c r="AA64">
        <v>53</v>
      </c>
      <c r="AB64">
        <v>25.83</v>
      </c>
      <c r="AC64" t="str">
        <f t="shared" si="0"/>
        <v>Small</v>
      </c>
      <c r="AD64" t="s">
        <v>575</v>
      </c>
      <c r="AE64" t="s">
        <v>38</v>
      </c>
      <c r="AF64" t="s">
        <v>66</v>
      </c>
      <c r="AG64" t="str">
        <f t="shared" si="1"/>
        <v>yes</v>
      </c>
      <c r="AH64" t="s">
        <v>44</v>
      </c>
      <c r="AI64" t="s">
        <v>573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1</v>
      </c>
      <c r="AW64">
        <v>1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 x14ac:dyDescent="0.3">
      <c r="A65" t="s">
        <v>622</v>
      </c>
      <c r="B65" t="s">
        <v>99</v>
      </c>
      <c r="C65" t="s">
        <v>347</v>
      </c>
      <c r="D65" t="s">
        <v>348</v>
      </c>
      <c r="E65" t="s">
        <v>196</v>
      </c>
      <c r="F65" t="s">
        <v>92</v>
      </c>
      <c r="G65">
        <v>78664</v>
      </c>
      <c r="H65">
        <v>0</v>
      </c>
      <c r="J65" t="s">
        <v>349</v>
      </c>
      <c r="K65" t="s">
        <v>350</v>
      </c>
      <c r="L65" t="s">
        <v>52</v>
      </c>
      <c r="N65" t="s">
        <v>133</v>
      </c>
      <c r="O65" t="s">
        <v>72</v>
      </c>
      <c r="P65" t="s">
        <v>351</v>
      </c>
      <c r="Q65">
        <v>4322470000000000</v>
      </c>
      <c r="S65">
        <v>10195</v>
      </c>
      <c r="T65">
        <v>7524</v>
      </c>
      <c r="U65">
        <v>3.2928240740740737E-2</v>
      </c>
      <c r="V65">
        <v>3.2932870370370369E-2</v>
      </c>
      <c r="W65">
        <v>16.25</v>
      </c>
      <c r="X65" t="s">
        <v>353</v>
      </c>
      <c r="Y65">
        <v>3.2928240740740737E-2</v>
      </c>
      <c r="Z65">
        <v>42498</v>
      </c>
      <c r="AA65">
        <v>68</v>
      </c>
      <c r="AB65">
        <v>240.8</v>
      </c>
      <c r="AC65" t="str">
        <f t="shared" si="0"/>
        <v>Medium</v>
      </c>
      <c r="AD65" t="s">
        <v>575</v>
      </c>
      <c r="AE65" t="s">
        <v>43</v>
      </c>
      <c r="AF65" t="s">
        <v>66</v>
      </c>
      <c r="AG65" t="str">
        <f t="shared" si="1"/>
        <v>yes</v>
      </c>
      <c r="AH65" t="s">
        <v>58</v>
      </c>
      <c r="AI65" t="s">
        <v>573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</row>
    <row r="66" spans="1:64" x14ac:dyDescent="0.3">
      <c r="A66" t="s">
        <v>625</v>
      </c>
      <c r="B66" t="s">
        <v>28</v>
      </c>
      <c r="C66" t="s">
        <v>365</v>
      </c>
      <c r="D66" t="s">
        <v>366</v>
      </c>
      <c r="E66" t="s">
        <v>217</v>
      </c>
      <c r="F66" t="s">
        <v>31</v>
      </c>
      <c r="G66">
        <v>84010</v>
      </c>
      <c r="H66">
        <v>0</v>
      </c>
      <c r="J66" t="s">
        <v>367</v>
      </c>
      <c r="K66" t="s">
        <v>368</v>
      </c>
      <c r="L66" t="s">
        <v>52</v>
      </c>
      <c r="N66" t="s">
        <v>306</v>
      </c>
      <c r="O66" t="s">
        <v>304</v>
      </c>
      <c r="P66" t="s">
        <v>369</v>
      </c>
      <c r="Q66">
        <v>4433280000000000</v>
      </c>
      <c r="S66">
        <v>10211</v>
      </c>
      <c r="T66">
        <v>3605</v>
      </c>
      <c r="U66">
        <v>3.2928240740740737E-2</v>
      </c>
      <c r="V66">
        <v>3.2932870370370369E-2</v>
      </c>
      <c r="W66">
        <v>13.51</v>
      </c>
      <c r="X66" t="s">
        <v>273</v>
      </c>
      <c r="Y66">
        <v>3.2928240740740737E-2</v>
      </c>
      <c r="Z66">
        <v>42498</v>
      </c>
      <c r="AA66" t="s">
        <v>56</v>
      </c>
      <c r="AB66">
        <v>77.900000000000006</v>
      </c>
      <c r="AC66" t="str">
        <f t="shared" si="0"/>
        <v>Small</v>
      </c>
      <c r="AD66" t="s">
        <v>578</v>
      </c>
      <c r="AE66" t="s">
        <v>38</v>
      </c>
      <c r="AF66" t="s">
        <v>57</v>
      </c>
      <c r="AG66" t="str">
        <f t="shared" si="1"/>
        <v>no</v>
      </c>
      <c r="AH66" t="s">
        <v>40</v>
      </c>
      <c r="AI66" t="s">
        <v>572</v>
      </c>
      <c r="AJ66">
        <v>1</v>
      </c>
      <c r="AK66">
        <v>1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 x14ac:dyDescent="0.3">
      <c r="A67" t="s">
        <v>626</v>
      </c>
      <c r="B67" t="s">
        <v>28</v>
      </c>
      <c r="C67" t="s">
        <v>370</v>
      </c>
      <c r="D67" t="s">
        <v>371</v>
      </c>
      <c r="E67" t="s">
        <v>372</v>
      </c>
      <c r="F67" t="s">
        <v>31</v>
      </c>
      <c r="G67">
        <v>12071</v>
      </c>
      <c r="H67">
        <v>0</v>
      </c>
      <c r="J67" t="s">
        <v>373</v>
      </c>
      <c r="K67" t="s">
        <v>374</v>
      </c>
      <c r="L67" t="s">
        <v>537</v>
      </c>
      <c r="N67" t="s">
        <v>191</v>
      </c>
      <c r="O67" t="s">
        <v>64</v>
      </c>
      <c r="P67">
        <v>796000000000000</v>
      </c>
      <c r="Q67">
        <v>3528610000000000</v>
      </c>
      <c r="S67">
        <v>10215</v>
      </c>
      <c r="T67">
        <v>9132</v>
      </c>
      <c r="U67">
        <v>3.2928240740740737E-2</v>
      </c>
      <c r="V67">
        <v>3.2932870370370369E-2</v>
      </c>
      <c r="W67">
        <v>6.87</v>
      </c>
      <c r="X67" t="s">
        <v>375</v>
      </c>
      <c r="Y67">
        <v>3.2928240740740737E-2</v>
      </c>
      <c r="Z67">
        <v>42498</v>
      </c>
      <c r="AA67" t="s">
        <v>56</v>
      </c>
      <c r="AB67">
        <v>132.36000000000001</v>
      </c>
      <c r="AC67" t="str">
        <f t="shared" ref="AC67:AC130" si="2">IF(AB67&gt;300,"Large",IF(AB67&gt;100,"Medium", IF(AB67&gt;0,"Small")))</f>
        <v>Medium</v>
      </c>
      <c r="AD67" t="s">
        <v>575</v>
      </c>
      <c r="AE67" t="s">
        <v>38</v>
      </c>
      <c r="AF67" t="s">
        <v>57</v>
      </c>
      <c r="AG67" t="str">
        <f t="shared" ref="AG67:AG130" si="3">IF(AD67="complete","yes","no")</f>
        <v>yes</v>
      </c>
      <c r="AH67" t="s">
        <v>40</v>
      </c>
      <c r="AI67" t="s">
        <v>572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1</v>
      </c>
    </row>
    <row r="68" spans="1:64" x14ac:dyDescent="0.3">
      <c r="A68" t="s">
        <v>627</v>
      </c>
      <c r="B68" t="s">
        <v>99</v>
      </c>
      <c r="C68" t="s">
        <v>376</v>
      </c>
      <c r="D68" t="s">
        <v>377</v>
      </c>
      <c r="E68" t="s">
        <v>378</v>
      </c>
      <c r="F68" t="s">
        <v>31</v>
      </c>
      <c r="G68">
        <v>29100</v>
      </c>
      <c r="H68">
        <v>0</v>
      </c>
      <c r="J68" t="s">
        <v>379</v>
      </c>
      <c r="K68" t="s">
        <v>380</v>
      </c>
      <c r="L68" t="s">
        <v>95</v>
      </c>
      <c r="N68" t="s">
        <v>183</v>
      </c>
      <c r="O68" t="s">
        <v>72</v>
      </c>
      <c r="P68" t="s">
        <v>381</v>
      </c>
      <c r="Q68">
        <v>344368000000000</v>
      </c>
      <c r="S68">
        <v>10219</v>
      </c>
      <c r="T68">
        <v>2700</v>
      </c>
      <c r="U68">
        <v>3.2928240740740737E-2</v>
      </c>
      <c r="V68">
        <v>3.2932870370370369E-2</v>
      </c>
      <c r="W68">
        <v>22.95</v>
      </c>
      <c r="X68" t="s">
        <v>105</v>
      </c>
      <c r="Y68">
        <v>3.2928240740740737E-2</v>
      </c>
      <c r="Z68">
        <v>42498</v>
      </c>
      <c r="AA68" t="s">
        <v>382</v>
      </c>
      <c r="AB68">
        <v>15.63</v>
      </c>
      <c r="AC68" t="str">
        <f t="shared" si="2"/>
        <v>Small</v>
      </c>
      <c r="AD68" t="s">
        <v>575</v>
      </c>
      <c r="AE68" t="s">
        <v>38</v>
      </c>
      <c r="AF68" t="s">
        <v>66</v>
      </c>
      <c r="AG68" t="str">
        <f t="shared" si="3"/>
        <v>yes</v>
      </c>
      <c r="AH68" t="s">
        <v>44</v>
      </c>
      <c r="AI68" t="s">
        <v>572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 x14ac:dyDescent="0.3">
      <c r="A69" t="s">
        <v>630</v>
      </c>
      <c r="B69" t="s">
        <v>99</v>
      </c>
      <c r="C69" t="s">
        <v>394</v>
      </c>
      <c r="D69" t="s">
        <v>395</v>
      </c>
      <c r="E69" t="s">
        <v>171</v>
      </c>
      <c r="F69" t="s">
        <v>92</v>
      </c>
      <c r="G69">
        <v>21202</v>
      </c>
      <c r="H69">
        <v>0</v>
      </c>
      <c r="J69" t="s">
        <v>396</v>
      </c>
      <c r="K69" t="s">
        <v>397</v>
      </c>
      <c r="L69" t="s">
        <v>141</v>
      </c>
      <c r="N69" t="s">
        <v>254</v>
      </c>
      <c r="O69" t="s">
        <v>31</v>
      </c>
      <c r="P69" t="s">
        <v>398</v>
      </c>
      <c r="Q69">
        <v>36774400000000</v>
      </c>
      <c r="S69">
        <v>10231</v>
      </c>
      <c r="T69">
        <v>1479</v>
      </c>
      <c r="U69">
        <v>3.2928240740740737E-2</v>
      </c>
      <c r="V69">
        <v>3.2932870370370369E-2</v>
      </c>
      <c r="W69">
        <v>13.7</v>
      </c>
      <c r="X69" t="s">
        <v>224</v>
      </c>
      <c r="Y69">
        <v>3.2928240740740737E-2</v>
      </c>
      <c r="Z69">
        <v>42498</v>
      </c>
      <c r="AA69">
        <v>73</v>
      </c>
      <c r="AB69">
        <v>181.03</v>
      </c>
      <c r="AC69" t="str">
        <f t="shared" si="2"/>
        <v>Medium</v>
      </c>
      <c r="AD69" t="s">
        <v>575</v>
      </c>
      <c r="AE69" t="s">
        <v>43</v>
      </c>
      <c r="AF69" t="s">
        <v>39</v>
      </c>
      <c r="AG69" t="str">
        <f t="shared" si="3"/>
        <v>yes</v>
      </c>
      <c r="AH69" t="s">
        <v>58</v>
      </c>
      <c r="AI69" t="s">
        <v>573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1</v>
      </c>
      <c r="BL69">
        <v>0</v>
      </c>
    </row>
    <row r="70" spans="1:64" x14ac:dyDescent="0.3">
      <c r="A70" t="s">
        <v>640</v>
      </c>
      <c r="B70" t="s">
        <v>28</v>
      </c>
      <c r="C70" t="s">
        <v>444</v>
      </c>
      <c r="D70" t="s">
        <v>445</v>
      </c>
      <c r="E70" t="s">
        <v>171</v>
      </c>
      <c r="F70" t="s">
        <v>92</v>
      </c>
      <c r="G70">
        <v>20705</v>
      </c>
      <c r="H70">
        <v>0</v>
      </c>
      <c r="J70" t="s">
        <v>446</v>
      </c>
      <c r="K70" t="s">
        <v>447</v>
      </c>
      <c r="L70" t="s">
        <v>141</v>
      </c>
      <c r="N70" t="s">
        <v>448</v>
      </c>
      <c r="O70" t="s">
        <v>179</v>
      </c>
      <c r="P70">
        <v>751454315</v>
      </c>
      <c r="Q70">
        <v>36966300000000</v>
      </c>
      <c r="S70">
        <v>10283</v>
      </c>
      <c r="T70">
        <v>8061</v>
      </c>
      <c r="U70">
        <v>3.2928240740740737E-2</v>
      </c>
      <c r="V70">
        <v>3.2932870370370369E-2</v>
      </c>
      <c r="W70">
        <v>10.45</v>
      </c>
      <c r="X70" t="s">
        <v>270</v>
      </c>
      <c r="Y70">
        <v>3.2928240740740737E-2</v>
      </c>
      <c r="Z70">
        <v>42498</v>
      </c>
      <c r="AA70">
        <v>68</v>
      </c>
      <c r="AB70">
        <v>99.98</v>
      </c>
      <c r="AC70" t="str">
        <f t="shared" si="2"/>
        <v>Small</v>
      </c>
      <c r="AD70" t="s">
        <v>575</v>
      </c>
      <c r="AE70" t="s">
        <v>43</v>
      </c>
      <c r="AF70" t="s">
        <v>39</v>
      </c>
      <c r="AG70" t="str">
        <f t="shared" si="3"/>
        <v>yes</v>
      </c>
      <c r="AH70" t="s">
        <v>40</v>
      </c>
      <c r="AI70" t="s">
        <v>573</v>
      </c>
      <c r="AJ70">
        <v>0</v>
      </c>
      <c r="AK70">
        <v>1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 x14ac:dyDescent="0.3">
      <c r="A71" t="s">
        <v>643</v>
      </c>
      <c r="B71" t="s">
        <v>99</v>
      </c>
      <c r="C71" t="s">
        <v>460</v>
      </c>
      <c r="D71" t="s">
        <v>461</v>
      </c>
      <c r="E71" t="s">
        <v>462</v>
      </c>
      <c r="F71" t="s">
        <v>92</v>
      </c>
      <c r="G71">
        <v>19020</v>
      </c>
      <c r="H71">
        <v>0</v>
      </c>
      <c r="J71" t="s">
        <v>463</v>
      </c>
      <c r="K71" t="s">
        <v>464</v>
      </c>
      <c r="L71" t="s">
        <v>537</v>
      </c>
      <c r="N71" t="s">
        <v>121</v>
      </c>
      <c r="O71" t="s">
        <v>179</v>
      </c>
      <c r="P71">
        <v>904601168</v>
      </c>
      <c r="Q71">
        <v>3528170000000000</v>
      </c>
      <c r="S71">
        <v>10295</v>
      </c>
      <c r="T71">
        <v>1426</v>
      </c>
      <c r="U71">
        <v>3.2928240740740737E-2</v>
      </c>
      <c r="V71">
        <v>3.2932870370370369E-2</v>
      </c>
      <c r="W71">
        <v>7.85</v>
      </c>
      <c r="X71" t="s">
        <v>353</v>
      </c>
      <c r="Y71">
        <v>3.2928240740740737E-2</v>
      </c>
      <c r="Z71">
        <v>42498</v>
      </c>
      <c r="AA71">
        <v>48</v>
      </c>
      <c r="AB71">
        <v>24.06</v>
      </c>
      <c r="AC71" t="str">
        <f t="shared" si="2"/>
        <v>Small</v>
      </c>
      <c r="AD71" t="s">
        <v>575</v>
      </c>
      <c r="AE71" t="s">
        <v>38</v>
      </c>
      <c r="AF71" t="s">
        <v>66</v>
      </c>
      <c r="AG71" t="str">
        <f t="shared" si="3"/>
        <v>yes</v>
      </c>
      <c r="AH71" t="s">
        <v>44</v>
      </c>
      <c r="AI71" t="s">
        <v>574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 x14ac:dyDescent="0.3">
      <c r="A72" t="s">
        <v>644</v>
      </c>
      <c r="B72" t="s">
        <v>99</v>
      </c>
      <c r="C72" t="s">
        <v>465</v>
      </c>
      <c r="D72" t="s">
        <v>466</v>
      </c>
      <c r="F72" t="s">
        <v>49</v>
      </c>
      <c r="G72">
        <v>83471</v>
      </c>
      <c r="H72">
        <v>0</v>
      </c>
      <c r="J72" t="s">
        <v>467</v>
      </c>
      <c r="K72" t="s">
        <v>468</v>
      </c>
      <c r="L72" t="s">
        <v>141</v>
      </c>
      <c r="N72" t="s">
        <v>208</v>
      </c>
      <c r="O72" t="s">
        <v>179</v>
      </c>
      <c r="P72">
        <v>777215385</v>
      </c>
      <c r="Q72">
        <v>36322900000000</v>
      </c>
      <c r="S72">
        <v>10299</v>
      </c>
      <c r="T72">
        <v>1053</v>
      </c>
      <c r="U72">
        <v>3.2928240740740737E-2</v>
      </c>
      <c r="V72">
        <v>3.2932870370370369E-2</v>
      </c>
      <c r="W72">
        <v>27.97</v>
      </c>
      <c r="X72" t="s">
        <v>273</v>
      </c>
      <c r="Y72">
        <v>3.2928240740740737E-2</v>
      </c>
      <c r="Z72">
        <v>42498</v>
      </c>
      <c r="AA72">
        <v>41</v>
      </c>
      <c r="AB72">
        <v>44.19</v>
      </c>
      <c r="AC72" t="str">
        <f t="shared" si="2"/>
        <v>Small</v>
      </c>
      <c r="AD72" t="s">
        <v>575</v>
      </c>
      <c r="AE72" t="s">
        <v>38</v>
      </c>
      <c r="AF72" t="s">
        <v>66</v>
      </c>
      <c r="AG72" t="str">
        <f t="shared" si="3"/>
        <v>yes</v>
      </c>
      <c r="AH72" t="s">
        <v>44</v>
      </c>
      <c r="AI72" t="s">
        <v>571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 x14ac:dyDescent="0.3">
      <c r="A73" t="s">
        <v>645</v>
      </c>
      <c r="B73" t="s">
        <v>28</v>
      </c>
      <c r="C73" t="s">
        <v>469</v>
      </c>
      <c r="D73" t="s">
        <v>470</v>
      </c>
      <c r="E73" t="s">
        <v>471</v>
      </c>
      <c r="F73" t="s">
        <v>31</v>
      </c>
      <c r="G73">
        <v>43042</v>
      </c>
      <c r="H73">
        <v>0</v>
      </c>
      <c r="J73" t="s">
        <v>472</v>
      </c>
      <c r="K73" t="s">
        <v>473</v>
      </c>
      <c r="L73" t="s">
        <v>95</v>
      </c>
      <c r="N73" t="s">
        <v>41</v>
      </c>
      <c r="O73" t="s">
        <v>179</v>
      </c>
      <c r="P73">
        <v>935314484</v>
      </c>
      <c r="Q73">
        <v>371412000000000</v>
      </c>
      <c r="S73">
        <v>10303</v>
      </c>
      <c r="T73">
        <v>4755</v>
      </c>
      <c r="U73">
        <v>3.2928240740740737E-2</v>
      </c>
      <c r="V73">
        <v>3.2932870370370369E-2</v>
      </c>
      <c r="W73">
        <v>17.87</v>
      </c>
      <c r="X73" t="s">
        <v>224</v>
      </c>
      <c r="Y73">
        <v>3.2928240740740737E-2</v>
      </c>
      <c r="Z73">
        <v>42498</v>
      </c>
      <c r="AA73">
        <v>22</v>
      </c>
      <c r="AB73">
        <v>173.09</v>
      </c>
      <c r="AC73" t="str">
        <f t="shared" si="2"/>
        <v>Medium</v>
      </c>
      <c r="AD73" t="s">
        <v>575</v>
      </c>
      <c r="AE73" t="s">
        <v>38</v>
      </c>
      <c r="AF73" t="s">
        <v>66</v>
      </c>
      <c r="AG73" t="str">
        <f t="shared" si="3"/>
        <v>yes</v>
      </c>
      <c r="AH73" t="s">
        <v>58</v>
      </c>
      <c r="AI73" t="s">
        <v>572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</row>
    <row r="74" spans="1:64" x14ac:dyDescent="0.3">
      <c r="A74" t="s">
        <v>646</v>
      </c>
      <c r="B74" t="s">
        <v>28</v>
      </c>
      <c r="C74" t="s">
        <v>474</v>
      </c>
      <c r="D74" t="s">
        <v>475</v>
      </c>
      <c r="E74" t="s">
        <v>301</v>
      </c>
      <c r="F74" t="s">
        <v>31</v>
      </c>
      <c r="G74">
        <v>21010</v>
      </c>
      <c r="H74">
        <v>0</v>
      </c>
      <c r="J74" t="s">
        <v>476</v>
      </c>
      <c r="K74" t="s">
        <v>477</v>
      </c>
      <c r="L74" t="s">
        <v>75</v>
      </c>
      <c r="N74" t="s">
        <v>168</v>
      </c>
      <c r="O74" t="s">
        <v>64</v>
      </c>
      <c r="P74">
        <v>283000000000000</v>
      </c>
      <c r="Q74">
        <v>6011610000000000</v>
      </c>
      <c r="S74">
        <v>10307</v>
      </c>
      <c r="T74">
        <v>7488</v>
      </c>
      <c r="U74">
        <v>3.2928240740740737E-2</v>
      </c>
      <c r="V74">
        <v>3.2932870370370369E-2</v>
      </c>
      <c r="W74">
        <v>22.32</v>
      </c>
      <c r="X74" t="s">
        <v>65</v>
      </c>
      <c r="Y74">
        <v>3.2928240740740737E-2</v>
      </c>
      <c r="Z74">
        <v>42498</v>
      </c>
      <c r="AA74" t="s">
        <v>56</v>
      </c>
      <c r="AB74">
        <v>35.25</v>
      </c>
      <c r="AC74" t="str">
        <f t="shared" si="2"/>
        <v>Small</v>
      </c>
      <c r="AD74" t="s">
        <v>575</v>
      </c>
      <c r="AE74" t="s">
        <v>38</v>
      </c>
      <c r="AF74" t="s">
        <v>66</v>
      </c>
      <c r="AG74" t="str">
        <f t="shared" si="3"/>
        <v>yes</v>
      </c>
      <c r="AH74" t="s">
        <v>44</v>
      </c>
      <c r="AI74" t="s">
        <v>572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 x14ac:dyDescent="0.3">
      <c r="A75" t="s">
        <v>656</v>
      </c>
      <c r="B75" t="s">
        <v>28</v>
      </c>
      <c r="C75" t="s">
        <v>525</v>
      </c>
      <c r="D75" t="s">
        <v>526</v>
      </c>
      <c r="E75" t="s">
        <v>267</v>
      </c>
      <c r="F75" t="s">
        <v>218</v>
      </c>
      <c r="G75">
        <v>2774</v>
      </c>
      <c r="H75">
        <v>0</v>
      </c>
      <c r="J75" t="s">
        <v>527</v>
      </c>
      <c r="K75" t="s">
        <v>528</v>
      </c>
      <c r="L75" t="s">
        <v>95</v>
      </c>
      <c r="N75" t="s">
        <v>363</v>
      </c>
      <c r="O75" t="s">
        <v>64</v>
      </c>
      <c r="P75">
        <v>814000000000000</v>
      </c>
      <c r="Q75">
        <v>372006000000000</v>
      </c>
      <c r="S75">
        <v>10347</v>
      </c>
      <c r="T75">
        <v>3591</v>
      </c>
      <c r="U75">
        <v>3.2928240740740737E-2</v>
      </c>
      <c r="V75">
        <v>3.2932870370370369E-2</v>
      </c>
      <c r="W75">
        <v>6.15</v>
      </c>
      <c r="X75" t="s">
        <v>244</v>
      </c>
      <c r="Y75">
        <v>3.2928240740740737E-2</v>
      </c>
      <c r="Z75">
        <v>42498</v>
      </c>
      <c r="AA75">
        <v>54</v>
      </c>
      <c r="AB75">
        <v>30.71</v>
      </c>
      <c r="AC75" t="str">
        <f t="shared" si="2"/>
        <v>Small</v>
      </c>
      <c r="AD75" t="s">
        <v>575</v>
      </c>
      <c r="AE75" t="s">
        <v>38</v>
      </c>
      <c r="AF75" t="s">
        <v>66</v>
      </c>
      <c r="AG75" t="str">
        <f t="shared" si="3"/>
        <v>yes</v>
      </c>
      <c r="AH75" t="s">
        <v>44</v>
      </c>
      <c r="AI75" t="s">
        <v>573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1</v>
      </c>
      <c r="AW75">
        <v>1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 x14ac:dyDescent="0.3">
      <c r="A76" t="s">
        <v>618</v>
      </c>
      <c r="B76" t="s">
        <v>99</v>
      </c>
      <c r="C76" t="s">
        <v>324</v>
      </c>
      <c r="D76" t="s">
        <v>320</v>
      </c>
      <c r="E76" t="s">
        <v>321</v>
      </c>
      <c r="F76" t="s">
        <v>92</v>
      </c>
      <c r="G76">
        <v>30329</v>
      </c>
      <c r="H76">
        <v>0</v>
      </c>
      <c r="J76" t="s">
        <v>325</v>
      </c>
      <c r="K76" t="s">
        <v>326</v>
      </c>
      <c r="L76" t="s">
        <v>75</v>
      </c>
      <c r="N76" t="s">
        <v>192</v>
      </c>
      <c r="O76" t="s">
        <v>31</v>
      </c>
      <c r="P76" t="s">
        <v>327</v>
      </c>
      <c r="Q76">
        <v>6011970000000000</v>
      </c>
      <c r="S76">
        <v>10171</v>
      </c>
      <c r="T76">
        <v>8182</v>
      </c>
      <c r="U76">
        <v>0</v>
      </c>
      <c r="V76">
        <v>1.5701388888888886E-2</v>
      </c>
      <c r="W76">
        <v>6.87</v>
      </c>
      <c r="X76" t="s">
        <v>328</v>
      </c>
      <c r="Y76">
        <v>0</v>
      </c>
      <c r="Z76">
        <v>42509</v>
      </c>
      <c r="AA76" t="s">
        <v>56</v>
      </c>
      <c r="AB76">
        <v>7.12</v>
      </c>
      <c r="AC76" t="str">
        <f t="shared" si="2"/>
        <v>Small</v>
      </c>
      <c r="AD76" t="s">
        <v>575</v>
      </c>
      <c r="AE76" t="s">
        <v>38</v>
      </c>
      <c r="AF76" t="s">
        <v>57</v>
      </c>
      <c r="AG76" t="str">
        <f t="shared" si="3"/>
        <v>yes</v>
      </c>
      <c r="AH76" t="s">
        <v>44</v>
      </c>
      <c r="AI76" t="s">
        <v>572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1</v>
      </c>
      <c r="AW76">
        <v>1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 x14ac:dyDescent="0.3">
      <c r="A77" t="s">
        <v>625</v>
      </c>
      <c r="B77" t="s">
        <v>28</v>
      </c>
      <c r="C77" t="s">
        <v>365</v>
      </c>
      <c r="D77" t="s">
        <v>366</v>
      </c>
      <c r="E77" t="s">
        <v>217</v>
      </c>
      <c r="F77" t="s">
        <v>31</v>
      </c>
      <c r="G77">
        <v>84010</v>
      </c>
      <c r="H77">
        <v>0</v>
      </c>
      <c r="J77" t="s">
        <v>367</v>
      </c>
      <c r="K77" t="s">
        <v>368</v>
      </c>
      <c r="L77" t="s">
        <v>52</v>
      </c>
      <c r="N77" t="s">
        <v>306</v>
      </c>
      <c r="O77" t="s">
        <v>304</v>
      </c>
      <c r="P77" t="s">
        <v>369</v>
      </c>
      <c r="Q77">
        <v>4722680000000000</v>
      </c>
      <c r="S77">
        <v>10211</v>
      </c>
      <c r="T77">
        <v>4985</v>
      </c>
      <c r="U77">
        <v>0</v>
      </c>
      <c r="V77">
        <v>1.5701388888888886E-2</v>
      </c>
      <c r="W77">
        <v>11.05</v>
      </c>
      <c r="X77" t="s">
        <v>328</v>
      </c>
      <c r="Y77">
        <v>0</v>
      </c>
      <c r="Z77">
        <v>42509</v>
      </c>
      <c r="AA77" t="s">
        <v>56</v>
      </c>
      <c r="AB77">
        <v>237.25</v>
      </c>
      <c r="AC77" t="str">
        <f t="shared" si="2"/>
        <v>Medium</v>
      </c>
      <c r="AD77" t="s">
        <v>575</v>
      </c>
      <c r="AE77" t="s">
        <v>38</v>
      </c>
      <c r="AF77" t="s">
        <v>57</v>
      </c>
      <c r="AG77" t="str">
        <f t="shared" si="3"/>
        <v>yes</v>
      </c>
      <c r="AH77" t="s">
        <v>58</v>
      </c>
      <c r="AI77" t="s">
        <v>572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</row>
    <row r="78" spans="1:64" x14ac:dyDescent="0.3">
      <c r="A78" t="s">
        <v>646</v>
      </c>
      <c r="B78" t="s">
        <v>28</v>
      </c>
      <c r="C78" t="s">
        <v>474</v>
      </c>
      <c r="D78" t="s">
        <v>475</v>
      </c>
      <c r="E78" t="s">
        <v>301</v>
      </c>
      <c r="F78" t="s">
        <v>31</v>
      </c>
      <c r="G78">
        <v>21010</v>
      </c>
      <c r="H78">
        <v>0</v>
      </c>
      <c r="J78" t="s">
        <v>476</v>
      </c>
      <c r="K78" t="s">
        <v>477</v>
      </c>
      <c r="L78" t="s">
        <v>75</v>
      </c>
      <c r="N78" t="s">
        <v>168</v>
      </c>
      <c r="O78" t="s">
        <v>64</v>
      </c>
      <c r="P78">
        <v>283000000000000</v>
      </c>
      <c r="Q78">
        <v>6011100000000000</v>
      </c>
      <c r="S78">
        <v>10307</v>
      </c>
      <c r="T78">
        <v>3922</v>
      </c>
      <c r="U78">
        <v>0</v>
      </c>
      <c r="V78">
        <v>1.5701388888888886E-2</v>
      </c>
      <c r="W78">
        <v>14.8</v>
      </c>
      <c r="X78" t="s">
        <v>328</v>
      </c>
      <c r="Y78">
        <v>0</v>
      </c>
      <c r="Z78">
        <v>42509</v>
      </c>
      <c r="AA78" t="s">
        <v>56</v>
      </c>
      <c r="AB78">
        <v>188.03</v>
      </c>
      <c r="AC78" t="str">
        <f t="shared" si="2"/>
        <v>Medium</v>
      </c>
      <c r="AD78" t="s">
        <v>575</v>
      </c>
      <c r="AE78" t="s">
        <v>38</v>
      </c>
      <c r="AF78" t="s">
        <v>66</v>
      </c>
      <c r="AG78" t="str">
        <f t="shared" si="3"/>
        <v>yes</v>
      </c>
      <c r="AH78" t="s">
        <v>58</v>
      </c>
      <c r="AI78" t="s">
        <v>572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</row>
    <row r="79" spans="1:64" x14ac:dyDescent="0.3">
      <c r="A79" t="s">
        <v>645</v>
      </c>
      <c r="B79" t="s">
        <v>28</v>
      </c>
      <c r="C79" t="s">
        <v>469</v>
      </c>
      <c r="D79" t="s">
        <v>470</v>
      </c>
      <c r="E79" t="s">
        <v>471</v>
      </c>
      <c r="F79" t="s">
        <v>31</v>
      </c>
      <c r="G79">
        <v>43042</v>
      </c>
      <c r="H79">
        <v>0</v>
      </c>
      <c r="J79" t="s">
        <v>472</v>
      </c>
      <c r="K79" t="s">
        <v>473</v>
      </c>
      <c r="L79" t="s">
        <v>95</v>
      </c>
      <c r="N79" t="s">
        <v>41</v>
      </c>
      <c r="O79" t="s">
        <v>179</v>
      </c>
      <c r="P79">
        <v>935314484</v>
      </c>
      <c r="Q79">
        <v>373017000000000</v>
      </c>
      <c r="S79">
        <v>10303</v>
      </c>
      <c r="T79">
        <v>4184</v>
      </c>
      <c r="U79">
        <v>0</v>
      </c>
      <c r="V79">
        <v>1.8124999999999999E-3</v>
      </c>
      <c r="W79">
        <v>22.77</v>
      </c>
      <c r="X79" t="s">
        <v>235</v>
      </c>
      <c r="Y79">
        <v>0</v>
      </c>
      <c r="Z79">
        <v>42519</v>
      </c>
      <c r="AA79">
        <v>22</v>
      </c>
      <c r="AB79">
        <v>190.12</v>
      </c>
      <c r="AC79" t="str">
        <f t="shared" si="2"/>
        <v>Medium</v>
      </c>
      <c r="AD79" t="s">
        <v>575</v>
      </c>
      <c r="AE79" t="s">
        <v>38</v>
      </c>
      <c r="AF79" t="s">
        <v>66</v>
      </c>
      <c r="AG79" t="str">
        <f t="shared" si="3"/>
        <v>yes</v>
      </c>
      <c r="AH79" t="s">
        <v>58</v>
      </c>
      <c r="AI79" t="s">
        <v>572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</row>
    <row r="80" spans="1:64" x14ac:dyDescent="0.3">
      <c r="A80" t="s">
        <v>588</v>
      </c>
      <c r="B80" t="s">
        <v>28</v>
      </c>
      <c r="C80" t="s">
        <v>107</v>
      </c>
      <c r="D80" t="s">
        <v>108</v>
      </c>
      <c r="E80" t="s">
        <v>109</v>
      </c>
      <c r="F80" t="s">
        <v>92</v>
      </c>
      <c r="G80">
        <v>12204</v>
      </c>
      <c r="H80">
        <v>0</v>
      </c>
      <c r="J80" t="s">
        <v>110</v>
      </c>
      <c r="K80" t="s">
        <v>111</v>
      </c>
      <c r="L80" t="s">
        <v>34</v>
      </c>
      <c r="N80" t="s">
        <v>98</v>
      </c>
      <c r="O80" t="s">
        <v>31</v>
      </c>
      <c r="P80" t="s">
        <v>112</v>
      </c>
      <c r="Q80">
        <v>5128950000000000</v>
      </c>
      <c r="S80">
        <v>10039</v>
      </c>
      <c r="T80">
        <v>5855</v>
      </c>
      <c r="U80">
        <v>0</v>
      </c>
      <c r="V80">
        <v>2.3436342592592595E-2</v>
      </c>
      <c r="W80">
        <v>17.2</v>
      </c>
      <c r="X80" t="s">
        <v>115</v>
      </c>
      <c r="Y80">
        <v>0</v>
      </c>
      <c r="Z80">
        <v>42520</v>
      </c>
      <c r="AA80">
        <v>72</v>
      </c>
      <c r="AB80">
        <v>164.54</v>
      </c>
      <c r="AC80" t="str">
        <f t="shared" si="2"/>
        <v>Medium</v>
      </c>
      <c r="AD80" t="s">
        <v>575</v>
      </c>
      <c r="AE80" t="s">
        <v>43</v>
      </c>
      <c r="AF80" t="s">
        <v>39</v>
      </c>
      <c r="AG80" t="str">
        <f t="shared" si="3"/>
        <v>yes</v>
      </c>
      <c r="AH80" t="s">
        <v>58</v>
      </c>
      <c r="AI80" t="s">
        <v>573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 x14ac:dyDescent="0.3">
      <c r="A81" t="s">
        <v>593</v>
      </c>
      <c r="B81" t="s">
        <v>28</v>
      </c>
      <c r="C81" t="s">
        <v>154</v>
      </c>
      <c r="D81" t="s">
        <v>155</v>
      </c>
      <c r="E81" t="s">
        <v>156</v>
      </c>
      <c r="F81" t="s">
        <v>92</v>
      </c>
      <c r="G81">
        <v>71301</v>
      </c>
      <c r="H81">
        <v>0</v>
      </c>
      <c r="J81" t="s">
        <v>157</v>
      </c>
      <c r="K81" t="s">
        <v>158</v>
      </c>
      <c r="L81" t="s">
        <v>141</v>
      </c>
      <c r="N81" t="s">
        <v>159</v>
      </c>
      <c r="O81" t="s">
        <v>64</v>
      </c>
      <c r="P81">
        <v>754000000000000</v>
      </c>
      <c r="Q81">
        <v>36139400000000</v>
      </c>
      <c r="S81">
        <v>10063</v>
      </c>
      <c r="T81">
        <v>564</v>
      </c>
      <c r="U81">
        <v>0</v>
      </c>
      <c r="V81">
        <v>4.0797453703703704E-2</v>
      </c>
      <c r="W81">
        <v>7.12</v>
      </c>
      <c r="X81" t="s">
        <v>160</v>
      </c>
      <c r="Y81">
        <v>0</v>
      </c>
      <c r="Z81">
        <v>42520</v>
      </c>
      <c r="AA81">
        <v>65</v>
      </c>
      <c r="AB81">
        <v>198.38</v>
      </c>
      <c r="AC81" t="str">
        <f t="shared" si="2"/>
        <v>Medium</v>
      </c>
      <c r="AD81" t="s">
        <v>577</v>
      </c>
      <c r="AE81" t="s">
        <v>43</v>
      </c>
      <c r="AF81" t="s">
        <v>39</v>
      </c>
      <c r="AG81" t="str">
        <f t="shared" si="3"/>
        <v>no</v>
      </c>
      <c r="AH81" t="s">
        <v>58</v>
      </c>
      <c r="AI81" t="s">
        <v>573</v>
      </c>
      <c r="AJ81">
        <v>0</v>
      </c>
      <c r="AK81">
        <v>1</v>
      </c>
      <c r="AL81">
        <v>0</v>
      </c>
      <c r="AM81">
        <v>1</v>
      </c>
      <c r="AN81">
        <v>0</v>
      </c>
      <c r="AO81">
        <v>0</v>
      </c>
      <c r="AP81">
        <v>1</v>
      </c>
      <c r="AQ81">
        <v>0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</row>
    <row r="82" spans="1:64" x14ac:dyDescent="0.3">
      <c r="A82" t="s">
        <v>606</v>
      </c>
      <c r="B82" t="s">
        <v>28</v>
      </c>
      <c r="C82" t="s">
        <v>255</v>
      </c>
      <c r="D82" t="s">
        <v>256</v>
      </c>
      <c r="E82" t="s">
        <v>240</v>
      </c>
      <c r="F82" t="s">
        <v>92</v>
      </c>
      <c r="G82">
        <v>54911</v>
      </c>
      <c r="H82">
        <v>0</v>
      </c>
      <c r="J82" t="s">
        <v>257</v>
      </c>
      <c r="K82" t="s">
        <v>258</v>
      </c>
      <c r="L82" t="s">
        <v>537</v>
      </c>
      <c r="N82" t="s">
        <v>259</v>
      </c>
      <c r="O82" t="s">
        <v>36</v>
      </c>
      <c r="P82">
        <v>229990001</v>
      </c>
      <c r="Q82">
        <v>3528270000000000</v>
      </c>
      <c r="S82">
        <v>10123</v>
      </c>
      <c r="T82">
        <v>7325</v>
      </c>
      <c r="U82">
        <v>0</v>
      </c>
      <c r="V82">
        <v>2.3436342592592595E-2</v>
      </c>
      <c r="W82">
        <v>11.45</v>
      </c>
      <c r="X82" t="s">
        <v>115</v>
      </c>
      <c r="Y82">
        <v>0</v>
      </c>
      <c r="Z82">
        <v>42520</v>
      </c>
      <c r="AA82">
        <v>20</v>
      </c>
      <c r="AB82">
        <v>227.61</v>
      </c>
      <c r="AC82" t="str">
        <f t="shared" si="2"/>
        <v>Medium</v>
      </c>
      <c r="AD82" t="s">
        <v>575</v>
      </c>
      <c r="AE82" t="s">
        <v>38</v>
      </c>
      <c r="AF82" t="s">
        <v>57</v>
      </c>
      <c r="AG82" t="str">
        <f t="shared" si="3"/>
        <v>yes</v>
      </c>
      <c r="AH82" t="s">
        <v>58</v>
      </c>
      <c r="AI82" t="s">
        <v>572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</row>
    <row r="83" spans="1:64" x14ac:dyDescent="0.3">
      <c r="A83" t="s">
        <v>618</v>
      </c>
      <c r="B83" t="s">
        <v>99</v>
      </c>
      <c r="C83" t="s">
        <v>324</v>
      </c>
      <c r="D83" t="s">
        <v>320</v>
      </c>
      <c r="E83" t="s">
        <v>321</v>
      </c>
      <c r="F83" t="s">
        <v>92</v>
      </c>
      <c r="G83">
        <v>30329</v>
      </c>
      <c r="H83">
        <v>0</v>
      </c>
      <c r="J83" t="s">
        <v>325</v>
      </c>
      <c r="K83" t="s">
        <v>326</v>
      </c>
      <c r="L83" t="s">
        <v>75</v>
      </c>
      <c r="N83" t="s">
        <v>192</v>
      </c>
      <c r="O83" t="s">
        <v>31</v>
      </c>
      <c r="P83" t="s">
        <v>327</v>
      </c>
      <c r="Q83">
        <v>6011560000000000</v>
      </c>
      <c r="S83">
        <v>10171</v>
      </c>
      <c r="T83">
        <v>2171</v>
      </c>
      <c r="U83">
        <v>0</v>
      </c>
      <c r="V83">
        <v>4.0797453703703704E-2</v>
      </c>
      <c r="W83">
        <v>18.989999999999998</v>
      </c>
      <c r="X83" t="s">
        <v>160</v>
      </c>
      <c r="Y83">
        <v>0</v>
      </c>
      <c r="Z83">
        <v>42520</v>
      </c>
      <c r="AA83" t="s">
        <v>56</v>
      </c>
      <c r="AB83">
        <v>50.67</v>
      </c>
      <c r="AC83" t="str">
        <f t="shared" si="2"/>
        <v>Small</v>
      </c>
      <c r="AD83" t="s">
        <v>575</v>
      </c>
      <c r="AE83" t="s">
        <v>38</v>
      </c>
      <c r="AF83" t="s">
        <v>57</v>
      </c>
      <c r="AG83" t="str">
        <f t="shared" si="3"/>
        <v>yes</v>
      </c>
      <c r="AH83" t="s">
        <v>44</v>
      </c>
      <c r="AI83" t="s">
        <v>572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 x14ac:dyDescent="0.3">
      <c r="A84" t="s">
        <v>589</v>
      </c>
      <c r="B84" t="s">
        <v>28</v>
      </c>
      <c r="C84" t="s">
        <v>116</v>
      </c>
      <c r="D84" t="s">
        <v>117</v>
      </c>
      <c r="E84" t="s">
        <v>118</v>
      </c>
      <c r="F84" t="s">
        <v>31</v>
      </c>
      <c r="G84">
        <v>23100</v>
      </c>
      <c r="H84">
        <v>0</v>
      </c>
      <c r="J84" t="s">
        <v>119</v>
      </c>
      <c r="K84" t="s">
        <v>120</v>
      </c>
      <c r="L84" t="s">
        <v>52</v>
      </c>
      <c r="N84" t="s">
        <v>121</v>
      </c>
      <c r="O84" t="s">
        <v>31</v>
      </c>
      <c r="P84" t="s">
        <v>122</v>
      </c>
      <c r="Q84">
        <v>4308570000000000</v>
      </c>
      <c r="S84">
        <v>10047</v>
      </c>
      <c r="T84">
        <v>529</v>
      </c>
      <c r="U84">
        <v>0</v>
      </c>
      <c r="V84">
        <v>3.3094907407407406E-2</v>
      </c>
      <c r="W84">
        <v>9</v>
      </c>
      <c r="X84" t="s">
        <v>123</v>
      </c>
      <c r="Y84">
        <v>0</v>
      </c>
      <c r="Z84">
        <v>42536</v>
      </c>
      <c r="AA84">
        <v>49</v>
      </c>
      <c r="AB84">
        <v>45.66</v>
      </c>
      <c r="AC84" t="str">
        <f t="shared" si="2"/>
        <v>Small</v>
      </c>
      <c r="AD84" t="s">
        <v>575</v>
      </c>
      <c r="AE84" t="s">
        <v>38</v>
      </c>
      <c r="AF84" t="s">
        <v>66</v>
      </c>
      <c r="AG84" t="str">
        <f t="shared" si="3"/>
        <v>yes</v>
      </c>
      <c r="AH84" t="s">
        <v>44</v>
      </c>
      <c r="AI84" t="s">
        <v>574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 x14ac:dyDescent="0.3">
      <c r="A85" t="s">
        <v>590</v>
      </c>
      <c r="B85" t="s">
        <v>28</v>
      </c>
      <c r="C85" t="s">
        <v>124</v>
      </c>
      <c r="D85" t="s">
        <v>125</v>
      </c>
      <c r="E85" t="s">
        <v>126</v>
      </c>
      <c r="F85" t="s">
        <v>92</v>
      </c>
      <c r="G85">
        <v>87109</v>
      </c>
      <c r="H85">
        <v>0</v>
      </c>
      <c r="J85" t="s">
        <v>127</v>
      </c>
      <c r="K85" t="s">
        <v>128</v>
      </c>
      <c r="L85" t="s">
        <v>95</v>
      </c>
      <c r="N85" t="s">
        <v>129</v>
      </c>
      <c r="O85" t="s">
        <v>64</v>
      </c>
      <c r="P85">
        <v>176000000000000</v>
      </c>
      <c r="Q85">
        <v>377264000000000</v>
      </c>
      <c r="S85">
        <v>10051</v>
      </c>
      <c r="T85">
        <v>6481</v>
      </c>
      <c r="U85">
        <v>0</v>
      </c>
      <c r="V85">
        <v>2.2744212962962963E-2</v>
      </c>
      <c r="W85">
        <v>17.87</v>
      </c>
      <c r="X85" t="s">
        <v>134</v>
      </c>
      <c r="Y85">
        <v>0</v>
      </c>
      <c r="Z85">
        <v>42536</v>
      </c>
      <c r="AA85">
        <v>47</v>
      </c>
      <c r="AB85">
        <v>28.6</v>
      </c>
      <c r="AC85" t="str">
        <f t="shared" si="2"/>
        <v>Small</v>
      </c>
      <c r="AD85" t="s">
        <v>577</v>
      </c>
      <c r="AE85" t="s">
        <v>38</v>
      </c>
      <c r="AF85" t="s">
        <v>66</v>
      </c>
      <c r="AG85" t="str">
        <f t="shared" si="3"/>
        <v>no</v>
      </c>
      <c r="AH85" t="s">
        <v>44</v>
      </c>
      <c r="AI85" t="s">
        <v>574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 x14ac:dyDescent="0.3">
      <c r="A86" t="s">
        <v>602</v>
      </c>
      <c r="B86" t="s">
        <v>99</v>
      </c>
      <c r="C86" t="s">
        <v>225</v>
      </c>
      <c r="D86" t="s">
        <v>226</v>
      </c>
      <c r="E86" t="s">
        <v>179</v>
      </c>
      <c r="F86" t="s">
        <v>92</v>
      </c>
      <c r="G86">
        <v>94508</v>
      </c>
      <c r="H86">
        <v>0</v>
      </c>
      <c r="J86" t="s">
        <v>227</v>
      </c>
      <c r="K86" t="s">
        <v>228</v>
      </c>
      <c r="L86" t="s">
        <v>141</v>
      </c>
      <c r="N86" t="s">
        <v>133</v>
      </c>
      <c r="O86" t="s">
        <v>72</v>
      </c>
      <c r="P86" t="s">
        <v>229</v>
      </c>
      <c r="Q86">
        <v>36121200000000</v>
      </c>
      <c r="S86">
        <v>10107</v>
      </c>
      <c r="T86">
        <v>2024</v>
      </c>
      <c r="U86">
        <v>0</v>
      </c>
      <c r="V86">
        <v>2.2744212962962963E-2</v>
      </c>
      <c r="W86">
        <v>17.87</v>
      </c>
      <c r="X86" t="s">
        <v>134</v>
      </c>
      <c r="Y86">
        <v>0</v>
      </c>
      <c r="Z86">
        <v>42536</v>
      </c>
      <c r="AA86">
        <v>64</v>
      </c>
      <c r="AB86">
        <v>8.7100000000000009</v>
      </c>
      <c r="AC86" t="str">
        <f t="shared" si="2"/>
        <v>Small</v>
      </c>
      <c r="AD86" t="s">
        <v>577</v>
      </c>
      <c r="AE86" t="s">
        <v>38</v>
      </c>
      <c r="AF86" t="s">
        <v>66</v>
      </c>
      <c r="AG86" t="str">
        <f t="shared" si="3"/>
        <v>no</v>
      </c>
      <c r="AH86" t="s">
        <v>44</v>
      </c>
      <c r="AI86" t="s">
        <v>573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 x14ac:dyDescent="0.3">
      <c r="A87" t="s">
        <v>620</v>
      </c>
      <c r="B87" t="s">
        <v>99</v>
      </c>
      <c r="C87" t="s">
        <v>336</v>
      </c>
      <c r="D87" t="s">
        <v>337</v>
      </c>
      <c r="E87" t="s">
        <v>338</v>
      </c>
      <c r="F87" t="s">
        <v>92</v>
      </c>
      <c r="G87">
        <v>98002</v>
      </c>
      <c r="H87">
        <v>0</v>
      </c>
      <c r="J87" t="s">
        <v>339</v>
      </c>
      <c r="K87" t="s">
        <v>340</v>
      </c>
      <c r="L87" t="s">
        <v>537</v>
      </c>
      <c r="N87" t="s">
        <v>244</v>
      </c>
      <c r="O87" t="s">
        <v>31</v>
      </c>
      <c r="P87" t="s">
        <v>341</v>
      </c>
      <c r="Q87">
        <v>3528030000000000</v>
      </c>
      <c r="S87">
        <v>10183</v>
      </c>
      <c r="T87">
        <v>2269</v>
      </c>
      <c r="U87">
        <v>0</v>
      </c>
      <c r="V87">
        <v>2.2744212962962963E-2</v>
      </c>
      <c r="W87">
        <v>7.12</v>
      </c>
      <c r="X87" t="s">
        <v>134</v>
      </c>
      <c r="Y87">
        <v>0</v>
      </c>
      <c r="Z87">
        <v>42536</v>
      </c>
      <c r="AA87">
        <v>35</v>
      </c>
      <c r="AB87">
        <v>30.79</v>
      </c>
      <c r="AC87" t="str">
        <f t="shared" si="2"/>
        <v>Small</v>
      </c>
      <c r="AD87" t="s">
        <v>575</v>
      </c>
      <c r="AE87" t="s">
        <v>38</v>
      </c>
      <c r="AF87" t="s">
        <v>66</v>
      </c>
      <c r="AG87" t="str">
        <f t="shared" si="3"/>
        <v>yes</v>
      </c>
      <c r="AH87" t="s">
        <v>44</v>
      </c>
      <c r="AI87" t="s">
        <v>571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1</v>
      </c>
      <c r="AW87">
        <v>1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 x14ac:dyDescent="0.3">
      <c r="A88" t="s">
        <v>649</v>
      </c>
      <c r="B88" t="s">
        <v>99</v>
      </c>
      <c r="C88" t="s">
        <v>534</v>
      </c>
      <c r="D88" t="s">
        <v>487</v>
      </c>
      <c r="F88" t="s">
        <v>64</v>
      </c>
      <c r="G88">
        <v>64200</v>
      </c>
      <c r="H88">
        <v>0</v>
      </c>
      <c r="J88" t="s">
        <v>488</v>
      </c>
      <c r="K88" t="s">
        <v>489</v>
      </c>
      <c r="L88" t="s">
        <v>34</v>
      </c>
      <c r="N88" t="s">
        <v>490</v>
      </c>
      <c r="O88" t="s">
        <v>64</v>
      </c>
      <c r="P88">
        <v>702000000000000</v>
      </c>
      <c r="Q88">
        <v>5159490000000000</v>
      </c>
      <c r="S88">
        <v>10319</v>
      </c>
      <c r="T88">
        <v>3624</v>
      </c>
      <c r="U88">
        <v>0</v>
      </c>
      <c r="V88">
        <v>3.3094907407407406E-2</v>
      </c>
      <c r="W88">
        <v>9.2200000000000006</v>
      </c>
      <c r="X88" t="s">
        <v>123</v>
      </c>
      <c r="Y88">
        <v>0</v>
      </c>
      <c r="Z88">
        <v>42536</v>
      </c>
      <c r="AA88">
        <v>26</v>
      </c>
      <c r="AB88">
        <v>240.95</v>
      </c>
      <c r="AC88" t="str">
        <f t="shared" si="2"/>
        <v>Medium</v>
      </c>
      <c r="AD88" t="s">
        <v>575</v>
      </c>
      <c r="AE88" t="s">
        <v>38</v>
      </c>
      <c r="AF88" t="s">
        <v>66</v>
      </c>
      <c r="AG88" t="str">
        <f t="shared" si="3"/>
        <v>yes</v>
      </c>
      <c r="AH88" t="s">
        <v>58</v>
      </c>
      <c r="AI88" t="s">
        <v>571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1</v>
      </c>
      <c r="BL88">
        <v>0</v>
      </c>
    </row>
    <row r="89" spans="1:64" x14ac:dyDescent="0.3">
      <c r="A89" t="s">
        <v>600</v>
      </c>
      <c r="B89" t="s">
        <v>28</v>
      </c>
      <c r="C89" t="s">
        <v>210</v>
      </c>
      <c r="D89" t="s">
        <v>211</v>
      </c>
      <c r="E89" t="s">
        <v>212</v>
      </c>
      <c r="F89" t="s">
        <v>31</v>
      </c>
      <c r="G89">
        <v>60123</v>
      </c>
      <c r="H89">
        <v>0</v>
      </c>
      <c r="J89" t="s">
        <v>213</v>
      </c>
      <c r="K89" t="s">
        <v>214</v>
      </c>
      <c r="L89" t="s">
        <v>141</v>
      </c>
      <c r="N89" t="s">
        <v>35</v>
      </c>
      <c r="O89" t="s">
        <v>36</v>
      </c>
      <c r="P89">
        <v>316290001</v>
      </c>
      <c r="Q89">
        <v>36205100000000</v>
      </c>
      <c r="S89">
        <v>10099</v>
      </c>
      <c r="T89">
        <v>5481</v>
      </c>
      <c r="U89">
        <v>0</v>
      </c>
      <c r="V89">
        <v>7.9432870370370369E-3</v>
      </c>
      <c r="W89">
        <v>8.99</v>
      </c>
      <c r="X89" t="s">
        <v>35</v>
      </c>
      <c r="Y89">
        <v>0</v>
      </c>
      <c r="Z89">
        <v>42541</v>
      </c>
      <c r="AA89">
        <v>63</v>
      </c>
      <c r="AB89">
        <v>33.340000000000003</v>
      </c>
      <c r="AC89" t="str">
        <f t="shared" si="2"/>
        <v>Small</v>
      </c>
      <c r="AD89" t="s">
        <v>575</v>
      </c>
      <c r="AE89" t="s">
        <v>38</v>
      </c>
      <c r="AF89" t="s">
        <v>66</v>
      </c>
      <c r="AG89" t="str">
        <f t="shared" si="3"/>
        <v>yes</v>
      </c>
      <c r="AH89" t="s">
        <v>44</v>
      </c>
      <c r="AI89" t="s">
        <v>573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 x14ac:dyDescent="0.3">
      <c r="A90" t="s">
        <v>615</v>
      </c>
      <c r="B90" t="s">
        <v>99</v>
      </c>
      <c r="C90" t="s">
        <v>307</v>
      </c>
      <c r="D90" t="s">
        <v>308</v>
      </c>
      <c r="E90" t="s">
        <v>267</v>
      </c>
      <c r="F90" t="s">
        <v>218</v>
      </c>
      <c r="G90">
        <v>2077</v>
      </c>
      <c r="H90">
        <v>0</v>
      </c>
      <c r="J90" t="s">
        <v>309</v>
      </c>
      <c r="K90" t="s">
        <v>310</v>
      </c>
      <c r="L90" t="s">
        <v>95</v>
      </c>
      <c r="N90" t="s">
        <v>270</v>
      </c>
      <c r="O90" t="s">
        <v>72</v>
      </c>
      <c r="P90" t="s">
        <v>311</v>
      </c>
      <c r="Q90">
        <v>375976000000000</v>
      </c>
      <c r="S90">
        <v>10159</v>
      </c>
      <c r="T90">
        <v>810</v>
      </c>
      <c r="U90">
        <v>0</v>
      </c>
      <c r="V90">
        <v>7.9432870370370369E-3</v>
      </c>
      <c r="W90">
        <v>7.02</v>
      </c>
      <c r="X90" t="s">
        <v>35</v>
      </c>
      <c r="Y90">
        <v>0</v>
      </c>
      <c r="Z90">
        <v>42541</v>
      </c>
      <c r="AA90">
        <v>53</v>
      </c>
      <c r="AB90">
        <v>7.89</v>
      </c>
      <c r="AC90" t="str">
        <f t="shared" si="2"/>
        <v>Small</v>
      </c>
      <c r="AD90" t="s">
        <v>575</v>
      </c>
      <c r="AE90" t="s">
        <v>38</v>
      </c>
      <c r="AF90" t="s">
        <v>66</v>
      </c>
      <c r="AG90" t="str">
        <f t="shared" si="3"/>
        <v>yes</v>
      </c>
      <c r="AH90" t="s">
        <v>44</v>
      </c>
      <c r="AI90" t="s">
        <v>573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 x14ac:dyDescent="0.3">
      <c r="A91" t="s">
        <v>615</v>
      </c>
      <c r="B91" t="s">
        <v>99</v>
      </c>
      <c r="C91" t="s">
        <v>307</v>
      </c>
      <c r="D91" t="s">
        <v>308</v>
      </c>
      <c r="E91" t="s">
        <v>267</v>
      </c>
      <c r="F91" t="s">
        <v>218</v>
      </c>
      <c r="G91">
        <v>2077</v>
      </c>
      <c r="H91">
        <v>0</v>
      </c>
      <c r="J91" t="s">
        <v>309</v>
      </c>
      <c r="K91" t="s">
        <v>310</v>
      </c>
      <c r="L91" t="s">
        <v>95</v>
      </c>
      <c r="N91" t="s">
        <v>270</v>
      </c>
      <c r="O91" t="s">
        <v>72</v>
      </c>
      <c r="P91" t="s">
        <v>311</v>
      </c>
      <c r="Q91">
        <v>340467000000000</v>
      </c>
      <c r="S91">
        <v>10159</v>
      </c>
      <c r="T91">
        <v>7795</v>
      </c>
      <c r="U91">
        <v>0</v>
      </c>
      <c r="V91">
        <v>7.9432870370370369E-3</v>
      </c>
      <c r="W91">
        <v>16.329999999999998</v>
      </c>
      <c r="X91" t="s">
        <v>313</v>
      </c>
      <c r="Y91">
        <v>0</v>
      </c>
      <c r="Z91">
        <v>42541</v>
      </c>
      <c r="AA91">
        <v>53</v>
      </c>
      <c r="AB91">
        <v>800.9</v>
      </c>
      <c r="AC91" t="str">
        <f t="shared" si="2"/>
        <v>Large</v>
      </c>
      <c r="AD91" t="s">
        <v>575</v>
      </c>
      <c r="AE91" t="s">
        <v>38</v>
      </c>
      <c r="AF91" t="s">
        <v>66</v>
      </c>
      <c r="AG91" t="str">
        <f t="shared" si="3"/>
        <v>yes</v>
      </c>
      <c r="AH91" t="s">
        <v>44</v>
      </c>
      <c r="AI91" t="s">
        <v>573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1</v>
      </c>
      <c r="AW91">
        <v>1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 x14ac:dyDescent="0.3">
      <c r="A92" t="s">
        <v>654</v>
      </c>
      <c r="B92" t="s">
        <v>99</v>
      </c>
      <c r="C92" t="s">
        <v>516</v>
      </c>
      <c r="D92" t="s">
        <v>510</v>
      </c>
      <c r="E92" t="s">
        <v>511</v>
      </c>
      <c r="F92" t="s">
        <v>92</v>
      </c>
      <c r="G92">
        <v>35203</v>
      </c>
      <c r="H92">
        <v>0</v>
      </c>
      <c r="J92" t="s">
        <v>517</v>
      </c>
      <c r="K92" t="s">
        <v>518</v>
      </c>
      <c r="L92" t="s">
        <v>52</v>
      </c>
      <c r="N92" t="s">
        <v>270</v>
      </c>
      <c r="O92" t="s">
        <v>304</v>
      </c>
      <c r="P92" t="s">
        <v>519</v>
      </c>
      <c r="Q92">
        <v>4446370000000000</v>
      </c>
      <c r="S92">
        <v>10339</v>
      </c>
      <c r="T92">
        <v>4716</v>
      </c>
      <c r="U92">
        <v>0</v>
      </c>
      <c r="V92">
        <v>7.9432870370370369E-3</v>
      </c>
      <c r="W92">
        <v>7.45</v>
      </c>
      <c r="X92" t="s">
        <v>313</v>
      </c>
      <c r="Y92">
        <v>0</v>
      </c>
      <c r="Z92">
        <v>42541</v>
      </c>
      <c r="AA92">
        <v>55</v>
      </c>
      <c r="AB92">
        <v>8.49</v>
      </c>
      <c r="AC92" t="str">
        <f t="shared" si="2"/>
        <v>Small</v>
      </c>
      <c r="AD92" t="s">
        <v>575</v>
      </c>
      <c r="AE92" t="s">
        <v>38</v>
      </c>
      <c r="AF92" t="s">
        <v>66</v>
      </c>
      <c r="AG92" t="str">
        <f t="shared" si="3"/>
        <v>yes</v>
      </c>
      <c r="AH92" t="s">
        <v>44</v>
      </c>
      <c r="AI92" t="s">
        <v>573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1</v>
      </c>
      <c r="AW92">
        <v>1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 x14ac:dyDescent="0.3">
      <c r="A93" t="s">
        <v>602</v>
      </c>
      <c r="B93" t="s">
        <v>99</v>
      </c>
      <c r="C93" t="s">
        <v>225</v>
      </c>
      <c r="D93" t="s">
        <v>226</v>
      </c>
      <c r="E93" t="s">
        <v>179</v>
      </c>
      <c r="F93" t="s">
        <v>92</v>
      </c>
      <c r="G93">
        <v>94508</v>
      </c>
      <c r="H93">
        <v>0</v>
      </c>
      <c r="J93" t="s">
        <v>227</v>
      </c>
      <c r="K93" t="s">
        <v>228</v>
      </c>
      <c r="L93" t="s">
        <v>141</v>
      </c>
      <c r="N93" t="s">
        <v>133</v>
      </c>
      <c r="O93" t="s">
        <v>72</v>
      </c>
      <c r="P93" t="s">
        <v>229</v>
      </c>
      <c r="Q93">
        <v>36025400000000</v>
      </c>
      <c r="S93">
        <v>10107</v>
      </c>
      <c r="T93">
        <v>825</v>
      </c>
      <c r="U93">
        <v>0</v>
      </c>
      <c r="V93">
        <v>4.104398148148148E-2</v>
      </c>
      <c r="W93">
        <v>6.38</v>
      </c>
      <c r="X93" t="s">
        <v>53</v>
      </c>
      <c r="Y93">
        <v>0</v>
      </c>
      <c r="Z93">
        <v>42548</v>
      </c>
      <c r="AA93">
        <v>64</v>
      </c>
      <c r="AB93">
        <v>16.559999999999999</v>
      </c>
      <c r="AC93" t="str">
        <f t="shared" si="2"/>
        <v>Small</v>
      </c>
      <c r="AD93" t="s">
        <v>575</v>
      </c>
      <c r="AE93" t="s">
        <v>38</v>
      </c>
      <c r="AF93" t="s">
        <v>66</v>
      </c>
      <c r="AG93" t="str">
        <f t="shared" si="3"/>
        <v>yes</v>
      </c>
      <c r="AH93" t="s">
        <v>44</v>
      </c>
      <c r="AI93" t="s">
        <v>573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 x14ac:dyDescent="0.3">
      <c r="A94" t="s">
        <v>649</v>
      </c>
      <c r="B94" t="s">
        <v>99</v>
      </c>
      <c r="C94" t="s">
        <v>534</v>
      </c>
      <c r="D94" t="s">
        <v>487</v>
      </c>
      <c r="F94" t="s">
        <v>64</v>
      </c>
      <c r="G94">
        <v>64200</v>
      </c>
      <c r="H94">
        <v>0</v>
      </c>
      <c r="J94" t="s">
        <v>488</v>
      </c>
      <c r="K94" t="s">
        <v>489</v>
      </c>
      <c r="L94" t="s">
        <v>34</v>
      </c>
      <c r="N94" t="s">
        <v>490</v>
      </c>
      <c r="O94" t="s">
        <v>64</v>
      </c>
      <c r="P94">
        <v>702000000000000</v>
      </c>
      <c r="Q94">
        <v>5149180000000000</v>
      </c>
      <c r="S94">
        <v>10319</v>
      </c>
      <c r="T94">
        <v>4581</v>
      </c>
      <c r="U94">
        <v>0</v>
      </c>
      <c r="V94">
        <v>4.104398148148148E-2</v>
      </c>
      <c r="W94">
        <v>17.23</v>
      </c>
      <c r="X94" t="s">
        <v>53</v>
      </c>
      <c r="Y94">
        <v>0</v>
      </c>
      <c r="Z94">
        <v>42548</v>
      </c>
      <c r="AA94">
        <v>26</v>
      </c>
      <c r="AB94">
        <v>42.26</v>
      </c>
      <c r="AC94" t="str">
        <f t="shared" si="2"/>
        <v>Small</v>
      </c>
      <c r="AD94" t="s">
        <v>575</v>
      </c>
      <c r="AE94" t="s">
        <v>38</v>
      </c>
      <c r="AF94" t="s">
        <v>66</v>
      </c>
      <c r="AG94" t="str">
        <f t="shared" si="3"/>
        <v>yes</v>
      </c>
      <c r="AH94" t="s">
        <v>44</v>
      </c>
      <c r="AI94" t="s">
        <v>571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 x14ac:dyDescent="0.3">
      <c r="A95" t="s">
        <v>598</v>
      </c>
      <c r="B95" t="s">
        <v>193</v>
      </c>
      <c r="C95" t="s">
        <v>194</v>
      </c>
      <c r="D95" t="s">
        <v>195</v>
      </c>
      <c r="E95" t="s">
        <v>196</v>
      </c>
      <c r="F95" t="s">
        <v>92</v>
      </c>
      <c r="G95">
        <v>79109</v>
      </c>
      <c r="H95">
        <v>0</v>
      </c>
      <c r="J95" t="s">
        <v>197</v>
      </c>
      <c r="K95" t="s">
        <v>198</v>
      </c>
      <c r="L95" t="s">
        <v>95</v>
      </c>
      <c r="N95" t="s">
        <v>199</v>
      </c>
      <c r="O95" t="s">
        <v>31</v>
      </c>
      <c r="P95" t="s">
        <v>200</v>
      </c>
      <c r="Q95">
        <v>374897000000000</v>
      </c>
      <c r="S95">
        <v>10091</v>
      </c>
      <c r="T95">
        <v>6717</v>
      </c>
      <c r="U95">
        <v>0</v>
      </c>
      <c r="V95">
        <v>9.6597222222222223E-3</v>
      </c>
      <c r="W95">
        <v>13.25</v>
      </c>
      <c r="X95" t="s">
        <v>201</v>
      </c>
      <c r="Y95">
        <v>0</v>
      </c>
      <c r="Z95">
        <v>42554</v>
      </c>
      <c r="AA95">
        <v>40</v>
      </c>
      <c r="AB95">
        <v>5.2</v>
      </c>
      <c r="AC95" t="str">
        <f t="shared" si="2"/>
        <v>Small</v>
      </c>
      <c r="AD95" t="s">
        <v>575</v>
      </c>
      <c r="AE95" t="s">
        <v>38</v>
      </c>
      <c r="AF95" t="s">
        <v>66</v>
      </c>
      <c r="AG95" t="str">
        <f t="shared" si="3"/>
        <v>yes</v>
      </c>
      <c r="AH95" t="s">
        <v>44</v>
      </c>
      <c r="AI95" t="s">
        <v>571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</row>
    <row r="96" spans="1:64" x14ac:dyDescent="0.3">
      <c r="A96" t="s">
        <v>619</v>
      </c>
      <c r="B96" t="s">
        <v>99</v>
      </c>
      <c r="C96" t="s">
        <v>329</v>
      </c>
      <c r="D96" t="s">
        <v>330</v>
      </c>
      <c r="E96" t="s">
        <v>331</v>
      </c>
      <c r="F96" t="s">
        <v>92</v>
      </c>
      <c r="G96">
        <v>8401</v>
      </c>
      <c r="H96">
        <v>0</v>
      </c>
      <c r="J96" t="s">
        <v>332</v>
      </c>
      <c r="K96" t="s">
        <v>333</v>
      </c>
      <c r="L96" t="s">
        <v>95</v>
      </c>
      <c r="N96" t="s">
        <v>334</v>
      </c>
      <c r="O96" t="s">
        <v>72</v>
      </c>
      <c r="P96" t="s">
        <v>335</v>
      </c>
      <c r="Q96">
        <v>370602000000000</v>
      </c>
      <c r="S96">
        <v>10179</v>
      </c>
      <c r="T96">
        <v>5684</v>
      </c>
      <c r="U96">
        <v>0</v>
      </c>
      <c r="V96">
        <v>9.6597222222222223E-3</v>
      </c>
      <c r="W96">
        <v>18.989999999999998</v>
      </c>
      <c r="X96" t="s">
        <v>201</v>
      </c>
      <c r="Y96">
        <v>0</v>
      </c>
      <c r="Z96">
        <v>42554</v>
      </c>
      <c r="AA96">
        <v>30</v>
      </c>
      <c r="AB96">
        <v>29.89</v>
      </c>
      <c r="AC96" t="str">
        <f t="shared" si="2"/>
        <v>Small</v>
      </c>
      <c r="AD96" t="s">
        <v>575</v>
      </c>
      <c r="AE96" t="s">
        <v>38</v>
      </c>
      <c r="AF96" t="s">
        <v>66</v>
      </c>
      <c r="AG96" t="str">
        <f t="shared" si="3"/>
        <v>yes</v>
      </c>
      <c r="AH96" t="s">
        <v>44</v>
      </c>
      <c r="AI96" t="s">
        <v>571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1</v>
      </c>
      <c r="AW96">
        <v>1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 x14ac:dyDescent="0.3">
      <c r="A97" t="s">
        <v>624</v>
      </c>
      <c r="B97" t="s">
        <v>28</v>
      </c>
      <c r="C97" t="s">
        <v>358</v>
      </c>
      <c r="D97" t="s">
        <v>359</v>
      </c>
      <c r="E97" t="s">
        <v>360</v>
      </c>
      <c r="F97" t="s">
        <v>218</v>
      </c>
      <c r="G97">
        <v>4361</v>
      </c>
      <c r="H97">
        <v>0</v>
      </c>
      <c r="J97" t="s">
        <v>361</v>
      </c>
      <c r="K97" t="s">
        <v>362</v>
      </c>
      <c r="L97" t="s">
        <v>95</v>
      </c>
      <c r="N97" t="s">
        <v>363</v>
      </c>
      <c r="O97" t="s">
        <v>304</v>
      </c>
      <c r="P97" t="s">
        <v>364</v>
      </c>
      <c r="Q97">
        <v>342963000000000</v>
      </c>
      <c r="S97">
        <v>10207</v>
      </c>
      <c r="T97">
        <v>8579</v>
      </c>
      <c r="U97">
        <v>0</v>
      </c>
      <c r="V97">
        <v>1.7784722222222223E-2</v>
      </c>
      <c r="W97">
        <v>23.12</v>
      </c>
      <c r="X97" t="s">
        <v>243</v>
      </c>
      <c r="Y97">
        <v>0</v>
      </c>
      <c r="Z97">
        <v>42554</v>
      </c>
      <c r="AA97">
        <v>70</v>
      </c>
      <c r="AB97">
        <v>22.85</v>
      </c>
      <c r="AC97" t="str">
        <f t="shared" si="2"/>
        <v>Small</v>
      </c>
      <c r="AD97" t="s">
        <v>575</v>
      </c>
      <c r="AE97" t="s">
        <v>43</v>
      </c>
      <c r="AF97" t="s">
        <v>66</v>
      </c>
      <c r="AG97" t="str">
        <f t="shared" si="3"/>
        <v>yes</v>
      </c>
      <c r="AH97" t="s">
        <v>44</v>
      </c>
      <c r="AI97" t="s">
        <v>573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 x14ac:dyDescent="0.3">
      <c r="A98" t="s">
        <v>639</v>
      </c>
      <c r="B98" t="s">
        <v>28</v>
      </c>
      <c r="C98" t="s">
        <v>439</v>
      </c>
      <c r="D98" t="s">
        <v>440</v>
      </c>
      <c r="E98" t="s">
        <v>441</v>
      </c>
      <c r="F98" t="s">
        <v>92</v>
      </c>
      <c r="G98">
        <v>62220</v>
      </c>
      <c r="H98">
        <v>0</v>
      </c>
      <c r="J98" t="s">
        <v>442</v>
      </c>
      <c r="K98" t="s">
        <v>443</v>
      </c>
      <c r="L98" t="s">
        <v>537</v>
      </c>
      <c r="N98" t="s">
        <v>334</v>
      </c>
      <c r="O98" t="s">
        <v>64</v>
      </c>
      <c r="P98">
        <v>229000000000000</v>
      </c>
      <c r="Q98">
        <v>3528360000000000</v>
      </c>
      <c r="S98">
        <v>10275</v>
      </c>
      <c r="T98">
        <v>1998</v>
      </c>
      <c r="U98">
        <v>0</v>
      </c>
      <c r="V98">
        <v>9.6597222222222223E-3</v>
      </c>
      <c r="W98">
        <v>18.239999999999998</v>
      </c>
      <c r="X98" t="s">
        <v>201</v>
      </c>
      <c r="Y98">
        <v>0</v>
      </c>
      <c r="Z98">
        <v>42554</v>
      </c>
      <c r="AA98">
        <v>76</v>
      </c>
      <c r="AB98">
        <v>236.03</v>
      </c>
      <c r="AC98" t="str">
        <f t="shared" si="2"/>
        <v>Medium</v>
      </c>
      <c r="AD98" t="s">
        <v>575</v>
      </c>
      <c r="AE98" t="s">
        <v>43</v>
      </c>
      <c r="AF98" t="s">
        <v>66</v>
      </c>
      <c r="AG98" t="str">
        <f t="shared" si="3"/>
        <v>yes</v>
      </c>
      <c r="AH98" t="s">
        <v>58</v>
      </c>
      <c r="AI98" t="s">
        <v>573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</row>
    <row r="99" spans="1:64" x14ac:dyDescent="0.3">
      <c r="A99" t="s">
        <v>640</v>
      </c>
      <c r="B99" t="s">
        <v>28</v>
      </c>
      <c r="C99" t="s">
        <v>444</v>
      </c>
      <c r="D99" t="s">
        <v>445</v>
      </c>
      <c r="E99" t="s">
        <v>171</v>
      </c>
      <c r="F99" t="s">
        <v>92</v>
      </c>
      <c r="G99">
        <v>20705</v>
      </c>
      <c r="H99">
        <v>0</v>
      </c>
      <c r="J99" t="s">
        <v>446</v>
      </c>
      <c r="K99" t="s">
        <v>447</v>
      </c>
      <c r="L99" t="s">
        <v>141</v>
      </c>
      <c r="N99" t="s">
        <v>448</v>
      </c>
      <c r="O99" t="s">
        <v>179</v>
      </c>
      <c r="P99">
        <v>751454315</v>
      </c>
      <c r="Q99">
        <v>36603900000000</v>
      </c>
      <c r="S99">
        <v>10283</v>
      </c>
      <c r="T99">
        <v>6946</v>
      </c>
      <c r="U99">
        <v>0</v>
      </c>
      <c r="V99">
        <v>9.6597222222222223E-3</v>
      </c>
      <c r="W99">
        <v>23.37</v>
      </c>
      <c r="X99" t="s">
        <v>449</v>
      </c>
      <c r="Y99">
        <v>0</v>
      </c>
      <c r="Z99">
        <v>42554</v>
      </c>
      <c r="AA99">
        <v>68</v>
      </c>
      <c r="AB99">
        <v>233.39</v>
      </c>
      <c r="AC99" t="str">
        <f t="shared" si="2"/>
        <v>Medium</v>
      </c>
      <c r="AD99" t="s">
        <v>575</v>
      </c>
      <c r="AE99" t="s">
        <v>43</v>
      </c>
      <c r="AF99" t="s">
        <v>39</v>
      </c>
      <c r="AG99" t="str">
        <f t="shared" si="3"/>
        <v>yes</v>
      </c>
      <c r="AH99" t="s">
        <v>58</v>
      </c>
      <c r="AI99" t="s">
        <v>573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1</v>
      </c>
    </row>
    <row r="100" spans="1:64" x14ac:dyDescent="0.3">
      <c r="A100" t="s">
        <v>651</v>
      </c>
      <c r="B100" t="s">
        <v>264</v>
      </c>
      <c r="C100" t="s">
        <v>496</v>
      </c>
      <c r="D100" t="s">
        <v>497</v>
      </c>
      <c r="E100" t="s">
        <v>498</v>
      </c>
      <c r="F100" t="s">
        <v>92</v>
      </c>
      <c r="G100">
        <v>59102</v>
      </c>
      <c r="H100">
        <v>0</v>
      </c>
      <c r="J100" t="s">
        <v>499</v>
      </c>
      <c r="K100" t="s">
        <v>500</v>
      </c>
      <c r="L100" t="s">
        <v>52</v>
      </c>
      <c r="N100" t="s">
        <v>501</v>
      </c>
      <c r="O100" t="s">
        <v>64</v>
      </c>
      <c r="P100">
        <v>250000000000000</v>
      </c>
      <c r="Q100">
        <v>4638110000000000</v>
      </c>
      <c r="S100">
        <v>10327</v>
      </c>
      <c r="T100">
        <v>738</v>
      </c>
      <c r="U100">
        <v>0</v>
      </c>
      <c r="V100">
        <v>9.6597222222222223E-3</v>
      </c>
      <c r="W100">
        <v>11.85</v>
      </c>
      <c r="X100" t="s">
        <v>449</v>
      </c>
      <c r="Y100">
        <v>0</v>
      </c>
      <c r="Z100">
        <v>42554</v>
      </c>
      <c r="AA100">
        <v>65</v>
      </c>
      <c r="AB100">
        <v>290.10000000000002</v>
      </c>
      <c r="AC100" t="str">
        <f t="shared" si="2"/>
        <v>Medium</v>
      </c>
      <c r="AD100" t="s">
        <v>575</v>
      </c>
      <c r="AE100" t="s">
        <v>43</v>
      </c>
      <c r="AF100" t="s">
        <v>39</v>
      </c>
      <c r="AG100" t="str">
        <f t="shared" si="3"/>
        <v>yes</v>
      </c>
      <c r="AH100" t="s">
        <v>58</v>
      </c>
      <c r="AI100" t="s">
        <v>573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1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1</v>
      </c>
    </row>
    <row r="101" spans="1:64" x14ac:dyDescent="0.3">
      <c r="A101" t="s">
        <v>587</v>
      </c>
      <c r="B101" t="s">
        <v>99</v>
      </c>
      <c r="C101" t="s">
        <v>100</v>
      </c>
      <c r="D101" t="s">
        <v>101</v>
      </c>
      <c r="E101" t="s">
        <v>102</v>
      </c>
      <c r="F101" t="s">
        <v>31</v>
      </c>
      <c r="G101">
        <v>38030</v>
      </c>
      <c r="H101">
        <v>0</v>
      </c>
      <c r="J101" t="s">
        <v>103</v>
      </c>
      <c r="K101" t="s">
        <v>104</v>
      </c>
      <c r="L101" t="s">
        <v>75</v>
      </c>
      <c r="N101" t="s">
        <v>105</v>
      </c>
      <c r="O101" t="s">
        <v>64</v>
      </c>
      <c r="P101">
        <v>267000000000000</v>
      </c>
      <c r="Q101">
        <v>6012000000000000</v>
      </c>
      <c r="S101">
        <v>10035</v>
      </c>
      <c r="T101">
        <v>5328</v>
      </c>
      <c r="U101">
        <v>0</v>
      </c>
      <c r="V101">
        <v>2.2745370370370371E-2</v>
      </c>
      <c r="W101">
        <v>33.85</v>
      </c>
      <c r="X101" t="s">
        <v>106</v>
      </c>
      <c r="Y101">
        <v>0</v>
      </c>
      <c r="Z101">
        <v>42566</v>
      </c>
      <c r="AA101">
        <v>46</v>
      </c>
      <c r="AB101">
        <v>49.16</v>
      </c>
      <c r="AC101" t="str">
        <f t="shared" si="2"/>
        <v>Small</v>
      </c>
      <c r="AD101" t="s">
        <v>575</v>
      </c>
      <c r="AE101" t="s">
        <v>38</v>
      </c>
      <c r="AF101" t="s">
        <v>66</v>
      </c>
      <c r="AG101" t="str">
        <f t="shared" si="3"/>
        <v>yes</v>
      </c>
      <c r="AH101" t="s">
        <v>44</v>
      </c>
      <c r="AI101" t="s">
        <v>574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 x14ac:dyDescent="0.3">
      <c r="A102" t="s">
        <v>616</v>
      </c>
      <c r="B102" t="s">
        <v>28</v>
      </c>
      <c r="C102" t="s">
        <v>314</v>
      </c>
      <c r="D102" t="s">
        <v>315</v>
      </c>
      <c r="E102" t="s">
        <v>196</v>
      </c>
      <c r="F102" t="s">
        <v>92</v>
      </c>
      <c r="G102">
        <v>75751</v>
      </c>
      <c r="H102">
        <v>0</v>
      </c>
      <c r="J102" t="s">
        <v>316</v>
      </c>
      <c r="K102" t="s">
        <v>317</v>
      </c>
      <c r="L102" t="s">
        <v>141</v>
      </c>
      <c r="N102" t="s">
        <v>55</v>
      </c>
      <c r="O102" t="s">
        <v>36</v>
      </c>
      <c r="P102">
        <v>23868154</v>
      </c>
      <c r="Q102">
        <v>36184000000000</v>
      </c>
      <c r="S102">
        <v>10163</v>
      </c>
      <c r="T102">
        <v>1740</v>
      </c>
      <c r="U102">
        <v>0</v>
      </c>
      <c r="V102">
        <v>2.5519675925925925E-2</v>
      </c>
      <c r="W102">
        <v>13.33</v>
      </c>
      <c r="X102" t="s">
        <v>318</v>
      </c>
      <c r="Y102">
        <v>0</v>
      </c>
      <c r="Z102">
        <v>42571</v>
      </c>
      <c r="AA102">
        <v>27</v>
      </c>
      <c r="AB102">
        <v>282.85000000000002</v>
      </c>
      <c r="AC102" t="str">
        <f t="shared" si="2"/>
        <v>Medium</v>
      </c>
      <c r="AD102" t="s">
        <v>578</v>
      </c>
      <c r="AE102" t="s">
        <v>38</v>
      </c>
      <c r="AF102" t="s">
        <v>57</v>
      </c>
      <c r="AG102" t="str">
        <f t="shared" si="3"/>
        <v>no</v>
      </c>
      <c r="AH102" t="s">
        <v>58</v>
      </c>
      <c r="AI102" t="s">
        <v>571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1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0</v>
      </c>
      <c r="BK102">
        <v>1</v>
      </c>
      <c r="BL102">
        <v>1</v>
      </c>
    </row>
    <row r="103" spans="1:64" x14ac:dyDescent="0.3">
      <c r="A103" t="s">
        <v>626</v>
      </c>
      <c r="B103" t="s">
        <v>28</v>
      </c>
      <c r="C103" t="s">
        <v>370</v>
      </c>
      <c r="D103" t="s">
        <v>371</v>
      </c>
      <c r="E103" t="s">
        <v>372</v>
      </c>
      <c r="F103" t="s">
        <v>31</v>
      </c>
      <c r="G103">
        <v>12071</v>
      </c>
      <c r="H103">
        <v>0</v>
      </c>
      <c r="J103" t="s">
        <v>373</v>
      </c>
      <c r="K103" t="s">
        <v>374</v>
      </c>
      <c r="L103" t="s">
        <v>537</v>
      </c>
      <c r="N103" t="s">
        <v>191</v>
      </c>
      <c r="O103" t="s">
        <v>64</v>
      </c>
      <c r="P103">
        <v>796000000000000</v>
      </c>
      <c r="Q103">
        <v>3528170000000000</v>
      </c>
      <c r="S103">
        <v>10215</v>
      </c>
      <c r="T103">
        <v>28</v>
      </c>
      <c r="U103">
        <v>0</v>
      </c>
      <c r="V103">
        <v>2.5519675925925925E-2</v>
      </c>
      <c r="W103">
        <v>13.88</v>
      </c>
      <c r="X103" t="s">
        <v>318</v>
      </c>
      <c r="Y103">
        <v>0</v>
      </c>
      <c r="Z103">
        <v>42571</v>
      </c>
      <c r="AA103" t="s">
        <v>56</v>
      </c>
      <c r="AB103">
        <v>114.25</v>
      </c>
      <c r="AC103" t="str">
        <f t="shared" si="2"/>
        <v>Medium</v>
      </c>
      <c r="AD103" t="s">
        <v>575</v>
      </c>
      <c r="AE103" t="s">
        <v>38</v>
      </c>
      <c r="AF103" t="s">
        <v>57</v>
      </c>
      <c r="AG103" t="str">
        <f t="shared" si="3"/>
        <v>yes</v>
      </c>
      <c r="AH103" t="s">
        <v>40</v>
      </c>
      <c r="AI103" t="s">
        <v>572</v>
      </c>
      <c r="AJ103">
        <v>1</v>
      </c>
      <c r="AK103">
        <v>1</v>
      </c>
      <c r="AL103">
        <v>0</v>
      </c>
      <c r="AM103">
        <v>0</v>
      </c>
      <c r="AN103">
        <v>1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 x14ac:dyDescent="0.3">
      <c r="A104" t="s">
        <v>632</v>
      </c>
      <c r="B104" t="s">
        <v>99</v>
      </c>
      <c r="C104" t="s">
        <v>403</v>
      </c>
      <c r="D104" t="s">
        <v>404</v>
      </c>
      <c r="E104" t="s">
        <v>267</v>
      </c>
      <c r="F104" t="s">
        <v>218</v>
      </c>
      <c r="G104">
        <v>2486</v>
      </c>
      <c r="H104">
        <v>0</v>
      </c>
      <c r="J104" t="s">
        <v>405</v>
      </c>
      <c r="K104" t="s">
        <v>406</v>
      </c>
      <c r="L104" t="s">
        <v>34</v>
      </c>
      <c r="N104" t="s">
        <v>223</v>
      </c>
      <c r="O104" t="s">
        <v>72</v>
      </c>
      <c r="P104" t="s">
        <v>407</v>
      </c>
      <c r="Q104">
        <v>5167670000000000</v>
      </c>
      <c r="S104">
        <v>10239</v>
      </c>
      <c r="T104">
        <v>5977</v>
      </c>
      <c r="U104">
        <v>0</v>
      </c>
      <c r="V104">
        <v>2.5519675925925925E-2</v>
      </c>
      <c r="W104">
        <v>9.51</v>
      </c>
      <c r="X104" t="s">
        <v>318</v>
      </c>
      <c r="Y104">
        <v>0</v>
      </c>
      <c r="Z104">
        <v>42571</v>
      </c>
      <c r="AA104">
        <v>42</v>
      </c>
      <c r="AB104">
        <v>32.99</v>
      </c>
      <c r="AC104" t="str">
        <f t="shared" si="2"/>
        <v>Small</v>
      </c>
      <c r="AD104" t="s">
        <v>575</v>
      </c>
      <c r="AE104" t="s">
        <v>38</v>
      </c>
      <c r="AF104" t="s">
        <v>66</v>
      </c>
      <c r="AG104" t="str">
        <f t="shared" si="3"/>
        <v>yes</v>
      </c>
      <c r="AH104" t="s">
        <v>44</v>
      </c>
      <c r="AI104" t="s">
        <v>574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 x14ac:dyDescent="0.3">
      <c r="A105" t="s">
        <v>585</v>
      </c>
      <c r="B105" t="s">
        <v>28</v>
      </c>
      <c r="C105" t="s">
        <v>81</v>
      </c>
      <c r="D105" t="s">
        <v>82</v>
      </c>
      <c r="F105" t="s">
        <v>72</v>
      </c>
      <c r="G105">
        <v>3569</v>
      </c>
      <c r="H105">
        <v>0</v>
      </c>
      <c r="J105" t="s">
        <v>83</v>
      </c>
      <c r="K105" t="s">
        <v>84</v>
      </c>
      <c r="L105" t="s">
        <v>52</v>
      </c>
      <c r="N105" t="s">
        <v>45</v>
      </c>
      <c r="O105" t="s">
        <v>31</v>
      </c>
      <c r="P105" t="s">
        <v>85</v>
      </c>
      <c r="Q105">
        <v>4988190000000000</v>
      </c>
      <c r="S105">
        <v>10027</v>
      </c>
      <c r="T105">
        <v>6961</v>
      </c>
      <c r="U105">
        <v>0</v>
      </c>
      <c r="V105">
        <v>2.0210648148148148E-2</v>
      </c>
      <c r="W105">
        <v>11.45</v>
      </c>
      <c r="X105" t="s">
        <v>88</v>
      </c>
      <c r="Y105">
        <v>0</v>
      </c>
      <c r="Z105">
        <v>42574</v>
      </c>
      <c r="AA105">
        <v>32</v>
      </c>
      <c r="AB105">
        <v>48.35</v>
      </c>
      <c r="AC105" t="str">
        <f t="shared" si="2"/>
        <v>Small</v>
      </c>
      <c r="AD105" t="s">
        <v>576</v>
      </c>
      <c r="AE105" t="s">
        <v>38</v>
      </c>
      <c r="AF105" t="s">
        <v>66</v>
      </c>
      <c r="AG105" t="str">
        <f t="shared" si="3"/>
        <v>no</v>
      </c>
      <c r="AH105" t="s">
        <v>44</v>
      </c>
      <c r="AI105" t="s">
        <v>571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 x14ac:dyDescent="0.3">
      <c r="A106" t="s">
        <v>599</v>
      </c>
      <c r="B106" t="s">
        <v>99</v>
      </c>
      <c r="C106" t="s">
        <v>203</v>
      </c>
      <c r="D106" t="s">
        <v>204</v>
      </c>
      <c r="E106" t="s">
        <v>179</v>
      </c>
      <c r="F106" t="s">
        <v>92</v>
      </c>
      <c r="G106">
        <v>92805</v>
      </c>
      <c r="H106">
        <v>0</v>
      </c>
      <c r="J106" t="s">
        <v>205</v>
      </c>
      <c r="K106" t="s">
        <v>206</v>
      </c>
      <c r="L106" t="s">
        <v>141</v>
      </c>
      <c r="N106" t="s">
        <v>159</v>
      </c>
      <c r="O106" t="s">
        <v>64</v>
      </c>
      <c r="P106">
        <v>700000000000000</v>
      </c>
      <c r="Q106">
        <v>36309200000000</v>
      </c>
      <c r="S106">
        <v>10095</v>
      </c>
      <c r="T106">
        <v>4382</v>
      </c>
      <c r="U106">
        <v>0</v>
      </c>
      <c r="V106">
        <v>2.0210648148148148E-2</v>
      </c>
      <c r="W106">
        <v>19.850000000000001</v>
      </c>
      <c r="X106" t="s">
        <v>88</v>
      </c>
      <c r="Y106">
        <v>0</v>
      </c>
      <c r="Z106">
        <v>42574</v>
      </c>
      <c r="AA106" t="s">
        <v>207</v>
      </c>
      <c r="AB106">
        <v>6.33</v>
      </c>
      <c r="AC106" t="str">
        <f t="shared" si="2"/>
        <v>Small</v>
      </c>
      <c r="AD106" t="s">
        <v>577</v>
      </c>
      <c r="AE106" t="s">
        <v>38</v>
      </c>
      <c r="AF106" t="s">
        <v>39</v>
      </c>
      <c r="AG106" t="str">
        <f t="shared" si="3"/>
        <v>no</v>
      </c>
      <c r="AH106" t="s">
        <v>44</v>
      </c>
      <c r="AI106" t="s">
        <v>572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 x14ac:dyDescent="0.3">
      <c r="A107" t="s">
        <v>618</v>
      </c>
      <c r="B107" t="s">
        <v>99</v>
      </c>
      <c r="C107" t="s">
        <v>324</v>
      </c>
      <c r="D107" t="s">
        <v>320</v>
      </c>
      <c r="E107" t="s">
        <v>321</v>
      </c>
      <c r="F107" t="s">
        <v>92</v>
      </c>
      <c r="G107">
        <v>30329</v>
      </c>
      <c r="H107">
        <v>0</v>
      </c>
      <c r="J107" t="s">
        <v>325</v>
      </c>
      <c r="K107" t="s">
        <v>326</v>
      </c>
      <c r="L107" t="s">
        <v>75</v>
      </c>
      <c r="N107" t="s">
        <v>192</v>
      </c>
      <c r="O107" t="s">
        <v>31</v>
      </c>
      <c r="P107" t="s">
        <v>327</v>
      </c>
      <c r="Q107">
        <v>6011650000000000</v>
      </c>
      <c r="S107">
        <v>10171</v>
      </c>
      <c r="T107">
        <v>7867</v>
      </c>
      <c r="U107">
        <v>0</v>
      </c>
      <c r="V107">
        <v>2.0210648148148148E-2</v>
      </c>
      <c r="W107">
        <v>8.99</v>
      </c>
      <c r="X107" t="s">
        <v>88</v>
      </c>
      <c r="Y107">
        <v>0</v>
      </c>
      <c r="Z107">
        <v>42574</v>
      </c>
      <c r="AA107" t="s">
        <v>56</v>
      </c>
      <c r="AB107">
        <v>26.97</v>
      </c>
      <c r="AC107" t="str">
        <f t="shared" si="2"/>
        <v>Small</v>
      </c>
      <c r="AD107" t="s">
        <v>577</v>
      </c>
      <c r="AE107" t="s">
        <v>38</v>
      </c>
      <c r="AF107" t="s">
        <v>57</v>
      </c>
      <c r="AG107" t="str">
        <f t="shared" si="3"/>
        <v>no</v>
      </c>
      <c r="AH107" t="s">
        <v>44</v>
      </c>
      <c r="AI107" t="s">
        <v>572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 x14ac:dyDescent="0.3">
      <c r="A108" t="s">
        <v>622</v>
      </c>
      <c r="B108" t="s">
        <v>99</v>
      </c>
      <c r="C108" t="s">
        <v>347</v>
      </c>
      <c r="D108" t="s">
        <v>348</v>
      </c>
      <c r="E108" t="s">
        <v>196</v>
      </c>
      <c r="F108" t="s">
        <v>92</v>
      </c>
      <c r="G108">
        <v>78664</v>
      </c>
      <c r="H108">
        <v>0</v>
      </c>
      <c r="J108" t="s">
        <v>349</v>
      </c>
      <c r="K108" t="s">
        <v>350</v>
      </c>
      <c r="L108" t="s">
        <v>52</v>
      </c>
      <c r="N108" t="s">
        <v>133</v>
      </c>
      <c r="O108" t="s">
        <v>72</v>
      </c>
      <c r="P108" t="s">
        <v>351</v>
      </c>
      <c r="Q108">
        <v>4029380000000000</v>
      </c>
      <c r="S108">
        <v>10195</v>
      </c>
      <c r="T108">
        <v>1950</v>
      </c>
      <c r="U108">
        <v>0</v>
      </c>
      <c r="V108">
        <v>2.0210648148148148E-2</v>
      </c>
      <c r="W108">
        <v>13.33</v>
      </c>
      <c r="X108" t="s">
        <v>88</v>
      </c>
      <c r="Y108">
        <v>0</v>
      </c>
      <c r="Z108">
        <v>42574</v>
      </c>
      <c r="AA108">
        <v>68</v>
      </c>
      <c r="AB108">
        <v>211.78</v>
      </c>
      <c r="AC108" t="str">
        <f t="shared" si="2"/>
        <v>Medium</v>
      </c>
      <c r="AD108" t="s">
        <v>575</v>
      </c>
      <c r="AE108" t="s">
        <v>43</v>
      </c>
      <c r="AF108" t="s">
        <v>66</v>
      </c>
      <c r="AG108" t="str">
        <f t="shared" si="3"/>
        <v>yes</v>
      </c>
      <c r="AH108" t="s">
        <v>58</v>
      </c>
      <c r="AI108" t="s">
        <v>573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1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1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</row>
    <row r="109" spans="1:64" x14ac:dyDescent="0.3">
      <c r="A109" t="s">
        <v>579</v>
      </c>
      <c r="B109" t="s">
        <v>28</v>
      </c>
      <c r="C109" t="s">
        <v>580</v>
      </c>
      <c r="D109" t="s">
        <v>29</v>
      </c>
      <c r="E109" t="s">
        <v>30</v>
      </c>
      <c r="F109" t="s">
        <v>31</v>
      </c>
      <c r="G109">
        <v>6040</v>
      </c>
      <c r="H109">
        <v>0</v>
      </c>
      <c r="J109" t="s">
        <v>32</v>
      </c>
      <c r="K109" t="s">
        <v>33</v>
      </c>
      <c r="L109" t="s">
        <v>34</v>
      </c>
      <c r="N109" t="s">
        <v>35</v>
      </c>
      <c r="O109" t="s">
        <v>36</v>
      </c>
      <c r="P109">
        <v>22867928</v>
      </c>
      <c r="Q109">
        <v>5179760000000000</v>
      </c>
      <c r="S109">
        <v>10003</v>
      </c>
      <c r="T109">
        <v>1106</v>
      </c>
      <c r="U109">
        <v>0</v>
      </c>
      <c r="V109">
        <v>2.0210648148148148E-2</v>
      </c>
      <c r="W109">
        <v>29.79</v>
      </c>
      <c r="X109" t="s">
        <v>37</v>
      </c>
      <c r="Y109">
        <v>0</v>
      </c>
      <c r="Z109">
        <v>42578</v>
      </c>
      <c r="AA109">
        <v>27</v>
      </c>
      <c r="AB109">
        <v>134.24</v>
      </c>
      <c r="AC109" t="str">
        <f t="shared" si="2"/>
        <v>Medium</v>
      </c>
      <c r="AD109" t="s">
        <v>575</v>
      </c>
      <c r="AE109" t="s">
        <v>38</v>
      </c>
      <c r="AF109" t="s">
        <v>39</v>
      </c>
      <c r="AG109" t="str">
        <f t="shared" si="3"/>
        <v>yes</v>
      </c>
      <c r="AH109" t="s">
        <v>40</v>
      </c>
      <c r="AI109" t="s">
        <v>571</v>
      </c>
      <c r="AJ109">
        <v>0</v>
      </c>
      <c r="AK109">
        <v>0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 x14ac:dyDescent="0.3">
      <c r="A110" t="s">
        <v>584</v>
      </c>
      <c r="B110" t="s">
        <v>28</v>
      </c>
      <c r="C110" t="s">
        <v>70</v>
      </c>
      <c r="D110" t="s">
        <v>71</v>
      </c>
      <c r="F110" t="s">
        <v>72</v>
      </c>
      <c r="G110">
        <v>37511</v>
      </c>
      <c r="H110">
        <v>0</v>
      </c>
      <c r="J110" t="s">
        <v>73</v>
      </c>
      <c r="K110" t="s">
        <v>74</v>
      </c>
      <c r="L110" t="s">
        <v>75</v>
      </c>
      <c r="N110" t="s">
        <v>76</v>
      </c>
      <c r="O110" t="s">
        <v>31</v>
      </c>
      <c r="P110" t="s">
        <v>77</v>
      </c>
      <c r="Q110">
        <v>6011110000000000</v>
      </c>
      <c r="S110">
        <v>10019</v>
      </c>
      <c r="T110">
        <v>2836</v>
      </c>
      <c r="U110">
        <v>0</v>
      </c>
      <c r="V110">
        <v>2.0210648148148148E-2</v>
      </c>
      <c r="W110">
        <v>6.05</v>
      </c>
      <c r="X110" t="s">
        <v>37</v>
      </c>
      <c r="Y110">
        <v>0</v>
      </c>
      <c r="Z110">
        <v>42578</v>
      </c>
      <c r="AA110">
        <v>53</v>
      </c>
      <c r="AB110">
        <v>9.06</v>
      </c>
      <c r="AC110" t="str">
        <f t="shared" si="2"/>
        <v>Small</v>
      </c>
      <c r="AD110" t="s">
        <v>578</v>
      </c>
      <c r="AE110" t="s">
        <v>38</v>
      </c>
      <c r="AF110" t="s">
        <v>66</v>
      </c>
      <c r="AG110" t="str">
        <f t="shared" si="3"/>
        <v>no</v>
      </c>
      <c r="AH110" t="s">
        <v>44</v>
      </c>
      <c r="AI110" t="s">
        <v>573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1</v>
      </c>
      <c r="AW110">
        <v>1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 x14ac:dyDescent="0.3">
      <c r="A111" t="s">
        <v>609</v>
      </c>
      <c r="B111" t="s">
        <v>99</v>
      </c>
      <c r="C111" t="s">
        <v>274</v>
      </c>
      <c r="D111" t="s">
        <v>275</v>
      </c>
      <c r="E111" t="s">
        <v>196</v>
      </c>
      <c r="F111" t="s">
        <v>92</v>
      </c>
      <c r="G111">
        <v>76011</v>
      </c>
      <c r="H111">
        <v>0</v>
      </c>
      <c r="J111" t="s">
        <v>276</v>
      </c>
      <c r="K111" t="s">
        <v>277</v>
      </c>
      <c r="L111" t="s">
        <v>52</v>
      </c>
      <c r="N111" t="s">
        <v>278</v>
      </c>
      <c r="O111" t="s">
        <v>72</v>
      </c>
      <c r="P111" t="s">
        <v>279</v>
      </c>
      <c r="Q111">
        <v>4904960000000000</v>
      </c>
      <c r="S111">
        <v>10135</v>
      </c>
      <c r="T111">
        <v>7836</v>
      </c>
      <c r="U111">
        <v>0</v>
      </c>
      <c r="V111">
        <v>2.0210648148148148E-2</v>
      </c>
      <c r="W111">
        <v>33.85</v>
      </c>
      <c r="X111" t="s">
        <v>37</v>
      </c>
      <c r="Y111">
        <v>0</v>
      </c>
      <c r="Z111">
        <v>42578</v>
      </c>
      <c r="AA111" t="s">
        <v>56</v>
      </c>
      <c r="AB111">
        <v>281.44</v>
      </c>
      <c r="AC111" t="str">
        <f t="shared" si="2"/>
        <v>Medium</v>
      </c>
      <c r="AD111" t="s">
        <v>575</v>
      </c>
      <c r="AE111" t="s">
        <v>43</v>
      </c>
      <c r="AF111" t="s">
        <v>66</v>
      </c>
      <c r="AG111" t="str">
        <f t="shared" si="3"/>
        <v>yes</v>
      </c>
      <c r="AH111" t="s">
        <v>58</v>
      </c>
      <c r="AI111" t="s">
        <v>572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</row>
    <row r="112" spans="1:64" x14ac:dyDescent="0.3">
      <c r="A112" t="s">
        <v>612</v>
      </c>
      <c r="B112" t="s">
        <v>28</v>
      </c>
      <c r="C112" t="s">
        <v>294</v>
      </c>
      <c r="D112" t="s">
        <v>295</v>
      </c>
      <c r="E112" t="s">
        <v>296</v>
      </c>
      <c r="F112" t="s">
        <v>92</v>
      </c>
      <c r="G112">
        <v>27203</v>
      </c>
      <c r="H112">
        <v>0</v>
      </c>
      <c r="J112" t="s">
        <v>297</v>
      </c>
      <c r="K112" t="s">
        <v>298</v>
      </c>
      <c r="L112" t="s">
        <v>75</v>
      </c>
      <c r="N112" t="s">
        <v>246</v>
      </c>
      <c r="O112" t="s">
        <v>64</v>
      </c>
      <c r="P112">
        <v>783000000000000</v>
      </c>
      <c r="Q112">
        <v>6011920000000000</v>
      </c>
      <c r="S112">
        <v>10151</v>
      </c>
      <c r="T112">
        <v>5206</v>
      </c>
      <c r="U112">
        <v>0</v>
      </c>
      <c r="V112">
        <v>2.0210648148148148E-2</v>
      </c>
      <c r="W112">
        <v>7.02</v>
      </c>
      <c r="X112" t="s">
        <v>37</v>
      </c>
      <c r="Y112">
        <v>0</v>
      </c>
      <c r="Z112">
        <v>42578</v>
      </c>
      <c r="AA112">
        <v>75</v>
      </c>
      <c r="AB112">
        <v>47.02</v>
      </c>
      <c r="AC112" t="str">
        <f t="shared" si="2"/>
        <v>Small</v>
      </c>
      <c r="AD112" t="s">
        <v>575</v>
      </c>
      <c r="AE112" t="s">
        <v>43</v>
      </c>
      <c r="AF112" t="s">
        <v>39</v>
      </c>
      <c r="AG112" t="str">
        <f t="shared" si="3"/>
        <v>yes</v>
      </c>
      <c r="AH112" t="s">
        <v>44</v>
      </c>
      <c r="AI112" t="s">
        <v>573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1</v>
      </c>
      <c r="AW112">
        <v>1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 x14ac:dyDescent="0.3">
      <c r="A113" t="s">
        <v>628</v>
      </c>
      <c r="B113" t="s">
        <v>28</v>
      </c>
      <c r="C113" t="s">
        <v>383</v>
      </c>
      <c r="D113" t="s">
        <v>384</v>
      </c>
      <c r="E113" t="s">
        <v>179</v>
      </c>
      <c r="F113" t="s">
        <v>92</v>
      </c>
      <c r="G113">
        <v>93307</v>
      </c>
      <c r="H113">
        <v>0</v>
      </c>
      <c r="J113" t="s">
        <v>385</v>
      </c>
      <c r="K113" t="s">
        <v>386</v>
      </c>
      <c r="L113" t="s">
        <v>141</v>
      </c>
      <c r="N113" t="s">
        <v>53</v>
      </c>
      <c r="O113" t="s">
        <v>179</v>
      </c>
      <c r="P113">
        <v>321140626</v>
      </c>
      <c r="Q113">
        <v>36846700000000</v>
      </c>
      <c r="S113">
        <v>10223</v>
      </c>
      <c r="T113">
        <v>3590</v>
      </c>
      <c r="U113">
        <v>0</v>
      </c>
      <c r="V113">
        <v>2.0210648148148148E-2</v>
      </c>
      <c r="W113">
        <v>6.15</v>
      </c>
      <c r="X113" t="s">
        <v>37</v>
      </c>
      <c r="Y113">
        <v>0</v>
      </c>
      <c r="Z113">
        <v>42578</v>
      </c>
      <c r="AA113" t="s">
        <v>387</v>
      </c>
      <c r="AB113">
        <v>80.569999999999993</v>
      </c>
      <c r="AC113" t="str">
        <f t="shared" si="2"/>
        <v>Small</v>
      </c>
      <c r="AD113" t="s">
        <v>575</v>
      </c>
      <c r="AE113" t="s">
        <v>38</v>
      </c>
      <c r="AF113" t="s">
        <v>57</v>
      </c>
      <c r="AG113" t="str">
        <f t="shared" si="3"/>
        <v>yes</v>
      </c>
      <c r="AH113" t="s">
        <v>40</v>
      </c>
      <c r="AI113" t="s">
        <v>572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1</v>
      </c>
      <c r="AS113">
        <v>0</v>
      </c>
      <c r="AT113">
        <v>0</v>
      </c>
      <c r="AU113">
        <v>1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 x14ac:dyDescent="0.3">
      <c r="A114" t="s">
        <v>627</v>
      </c>
      <c r="B114" t="s">
        <v>99</v>
      </c>
      <c r="C114" t="s">
        <v>376</v>
      </c>
      <c r="D114" t="s">
        <v>377</v>
      </c>
      <c r="E114" t="s">
        <v>378</v>
      </c>
      <c r="F114" t="s">
        <v>31</v>
      </c>
      <c r="G114">
        <v>29100</v>
      </c>
      <c r="H114">
        <v>0</v>
      </c>
      <c r="J114" t="s">
        <v>379</v>
      </c>
      <c r="K114" t="s">
        <v>380</v>
      </c>
      <c r="L114" t="s">
        <v>95</v>
      </c>
      <c r="N114" t="s">
        <v>183</v>
      </c>
      <c r="O114" t="s">
        <v>72</v>
      </c>
      <c r="P114" t="s">
        <v>381</v>
      </c>
      <c r="Q114">
        <v>340918000000000</v>
      </c>
      <c r="S114">
        <v>10219</v>
      </c>
      <c r="T114">
        <v>5899</v>
      </c>
      <c r="U114">
        <v>0</v>
      </c>
      <c r="V114">
        <v>3.5241898148148147E-2</v>
      </c>
      <c r="W114">
        <v>28.55</v>
      </c>
      <c r="X114" t="s">
        <v>285</v>
      </c>
      <c r="Y114">
        <v>0</v>
      </c>
      <c r="Z114">
        <v>42581</v>
      </c>
      <c r="AA114" t="s">
        <v>382</v>
      </c>
      <c r="AB114">
        <v>33.630000000000003</v>
      </c>
      <c r="AC114" t="str">
        <f t="shared" si="2"/>
        <v>Small</v>
      </c>
      <c r="AD114" t="s">
        <v>575</v>
      </c>
      <c r="AE114" t="s">
        <v>43</v>
      </c>
      <c r="AF114" t="s">
        <v>66</v>
      </c>
      <c r="AG114" t="str">
        <f t="shared" si="3"/>
        <v>yes</v>
      </c>
      <c r="AH114" t="s">
        <v>44</v>
      </c>
      <c r="AI114" t="s">
        <v>572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 x14ac:dyDescent="0.3">
      <c r="A115" t="s">
        <v>583</v>
      </c>
      <c r="B115" t="s">
        <v>28</v>
      </c>
      <c r="C115" t="s">
        <v>59</v>
      </c>
      <c r="D115" t="s">
        <v>60</v>
      </c>
      <c r="E115" t="s">
        <v>61</v>
      </c>
      <c r="F115" t="s">
        <v>31</v>
      </c>
      <c r="G115">
        <v>88041</v>
      </c>
      <c r="H115">
        <v>0</v>
      </c>
      <c r="J115" t="s">
        <v>62</v>
      </c>
      <c r="K115" t="s">
        <v>63</v>
      </c>
      <c r="L115" t="s">
        <v>52</v>
      </c>
      <c r="N115" t="s">
        <v>46</v>
      </c>
      <c r="O115" t="s">
        <v>64</v>
      </c>
      <c r="P115">
        <v>148000000000000</v>
      </c>
      <c r="Q115">
        <v>4621020000000000</v>
      </c>
      <c r="S115">
        <v>10015</v>
      </c>
      <c r="T115">
        <v>8633</v>
      </c>
      <c r="U115">
        <v>0</v>
      </c>
      <c r="V115">
        <v>1.2090277777777778E-2</v>
      </c>
      <c r="W115">
        <v>11.15</v>
      </c>
      <c r="X115" t="s">
        <v>69</v>
      </c>
      <c r="Y115">
        <v>0</v>
      </c>
      <c r="Z115">
        <v>42602</v>
      </c>
      <c r="AA115">
        <v>60</v>
      </c>
      <c r="AB115">
        <v>49.94</v>
      </c>
      <c r="AC115" t="str">
        <f t="shared" si="2"/>
        <v>Small</v>
      </c>
      <c r="AD115" t="s">
        <v>577</v>
      </c>
      <c r="AE115" t="s">
        <v>38</v>
      </c>
      <c r="AF115" t="s">
        <v>66</v>
      </c>
      <c r="AG115" t="str">
        <f t="shared" si="3"/>
        <v>no</v>
      </c>
      <c r="AH115" t="s">
        <v>44</v>
      </c>
      <c r="AI115" t="s">
        <v>573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1</v>
      </c>
      <c r="AW115">
        <v>1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 x14ac:dyDescent="0.3">
      <c r="A116" t="s">
        <v>584</v>
      </c>
      <c r="B116" t="s">
        <v>28</v>
      </c>
      <c r="C116" t="s">
        <v>70</v>
      </c>
      <c r="D116" t="s">
        <v>71</v>
      </c>
      <c r="F116" t="s">
        <v>72</v>
      </c>
      <c r="G116">
        <v>37511</v>
      </c>
      <c r="H116">
        <v>0</v>
      </c>
      <c r="J116" t="s">
        <v>73</v>
      </c>
      <c r="K116" t="s">
        <v>74</v>
      </c>
      <c r="L116" t="s">
        <v>75</v>
      </c>
      <c r="N116" t="s">
        <v>76</v>
      </c>
      <c r="O116" t="s">
        <v>31</v>
      </c>
      <c r="P116" t="s">
        <v>77</v>
      </c>
      <c r="Q116">
        <v>6011530000000000</v>
      </c>
      <c r="S116">
        <v>10019</v>
      </c>
      <c r="T116">
        <v>1257</v>
      </c>
      <c r="U116">
        <v>0</v>
      </c>
      <c r="V116">
        <v>3.2923611111111105E-2</v>
      </c>
      <c r="W116">
        <v>13.33</v>
      </c>
      <c r="X116" t="s">
        <v>79</v>
      </c>
      <c r="Y116">
        <v>0</v>
      </c>
      <c r="Z116">
        <v>42602</v>
      </c>
      <c r="AA116">
        <v>53</v>
      </c>
      <c r="AB116">
        <v>29.82</v>
      </c>
      <c r="AC116" t="str">
        <f t="shared" si="2"/>
        <v>Small</v>
      </c>
      <c r="AD116" t="s">
        <v>575</v>
      </c>
      <c r="AE116" t="s">
        <v>38</v>
      </c>
      <c r="AF116" t="s">
        <v>66</v>
      </c>
      <c r="AG116" t="str">
        <f t="shared" si="3"/>
        <v>yes</v>
      </c>
      <c r="AH116" t="s">
        <v>44</v>
      </c>
      <c r="AI116" t="s">
        <v>573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0</v>
      </c>
    </row>
    <row r="117" spans="1:64" x14ac:dyDescent="0.3">
      <c r="A117" t="s">
        <v>608</v>
      </c>
      <c r="B117" t="s">
        <v>264</v>
      </c>
      <c r="C117" t="s">
        <v>265</v>
      </c>
      <c r="D117" t="s">
        <v>266</v>
      </c>
      <c r="E117" t="s">
        <v>267</v>
      </c>
      <c r="F117" t="s">
        <v>218</v>
      </c>
      <c r="G117">
        <v>2284</v>
      </c>
      <c r="H117">
        <v>0</v>
      </c>
      <c r="J117" t="s">
        <v>268</v>
      </c>
      <c r="K117" t="s">
        <v>269</v>
      </c>
      <c r="L117" t="s">
        <v>141</v>
      </c>
      <c r="N117" t="s">
        <v>270</v>
      </c>
      <c r="O117" t="s">
        <v>31</v>
      </c>
      <c r="P117" t="s">
        <v>271</v>
      </c>
      <c r="Q117">
        <v>36383400000000</v>
      </c>
      <c r="S117">
        <v>10131</v>
      </c>
      <c r="T117">
        <v>1866</v>
      </c>
      <c r="U117">
        <v>0</v>
      </c>
      <c r="V117">
        <v>1.2090277777777778E-2</v>
      </c>
      <c r="W117">
        <v>7.02</v>
      </c>
      <c r="X117" t="s">
        <v>69</v>
      </c>
      <c r="Y117">
        <v>0</v>
      </c>
      <c r="Z117">
        <v>42602</v>
      </c>
      <c r="AA117">
        <v>78</v>
      </c>
      <c r="AB117">
        <v>161.59</v>
      </c>
      <c r="AC117" t="str">
        <f t="shared" si="2"/>
        <v>Medium</v>
      </c>
      <c r="AD117" t="s">
        <v>575</v>
      </c>
      <c r="AE117" t="s">
        <v>43</v>
      </c>
      <c r="AF117" t="s">
        <v>39</v>
      </c>
      <c r="AG117" t="str">
        <f t="shared" si="3"/>
        <v>yes</v>
      </c>
      <c r="AH117" t="s">
        <v>58</v>
      </c>
      <c r="AI117" t="s">
        <v>573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</row>
    <row r="118" spans="1:64" x14ac:dyDescent="0.3">
      <c r="A118" t="s">
        <v>613</v>
      </c>
      <c r="B118" t="s">
        <v>28</v>
      </c>
      <c r="C118" t="s">
        <v>299</v>
      </c>
      <c r="D118" t="s">
        <v>300</v>
      </c>
      <c r="E118" t="s">
        <v>301</v>
      </c>
      <c r="F118" t="s">
        <v>92</v>
      </c>
      <c r="G118">
        <v>23005</v>
      </c>
      <c r="H118">
        <v>0</v>
      </c>
      <c r="J118" t="s">
        <v>302</v>
      </c>
      <c r="K118" t="s">
        <v>303</v>
      </c>
      <c r="L118" t="s">
        <v>95</v>
      </c>
      <c r="N118" t="s">
        <v>68</v>
      </c>
      <c r="O118" t="s">
        <v>304</v>
      </c>
      <c r="P118" t="s">
        <v>305</v>
      </c>
      <c r="Q118">
        <v>376169000000000</v>
      </c>
      <c r="S118">
        <v>10155</v>
      </c>
      <c r="T118">
        <v>5455</v>
      </c>
      <c r="U118">
        <v>0</v>
      </c>
      <c r="V118">
        <v>1.2090277777777778E-2</v>
      </c>
      <c r="W118">
        <v>23.37</v>
      </c>
      <c r="X118" t="s">
        <v>69</v>
      </c>
      <c r="Y118">
        <v>0</v>
      </c>
      <c r="Z118">
        <v>42602</v>
      </c>
      <c r="AA118">
        <v>40</v>
      </c>
      <c r="AB118">
        <v>19.350000000000001</v>
      </c>
      <c r="AC118" t="str">
        <f t="shared" si="2"/>
        <v>Small</v>
      </c>
      <c r="AD118" t="s">
        <v>575</v>
      </c>
      <c r="AE118" t="s">
        <v>38</v>
      </c>
      <c r="AF118" t="s">
        <v>66</v>
      </c>
      <c r="AG118" t="str">
        <f t="shared" si="3"/>
        <v>yes</v>
      </c>
      <c r="AH118" t="s">
        <v>44</v>
      </c>
      <c r="AI118" t="s">
        <v>571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0</v>
      </c>
    </row>
    <row r="119" spans="1:64" x14ac:dyDescent="0.3">
      <c r="A119" t="s">
        <v>643</v>
      </c>
      <c r="B119" t="s">
        <v>99</v>
      </c>
      <c r="C119" t="s">
        <v>460</v>
      </c>
      <c r="D119" t="s">
        <v>461</v>
      </c>
      <c r="E119" t="s">
        <v>462</v>
      </c>
      <c r="F119" t="s">
        <v>92</v>
      </c>
      <c r="G119">
        <v>19020</v>
      </c>
      <c r="H119">
        <v>0</v>
      </c>
      <c r="J119" t="s">
        <v>463</v>
      </c>
      <c r="K119" t="s">
        <v>464</v>
      </c>
      <c r="L119" t="s">
        <v>537</v>
      </c>
      <c r="N119" t="s">
        <v>121</v>
      </c>
      <c r="O119" t="s">
        <v>179</v>
      </c>
      <c r="P119">
        <v>904601168</v>
      </c>
      <c r="Q119">
        <v>3528220000000000</v>
      </c>
      <c r="S119">
        <v>10295</v>
      </c>
      <c r="T119">
        <v>9065</v>
      </c>
      <c r="U119">
        <v>0</v>
      </c>
      <c r="V119">
        <v>3.2923611111111105E-2</v>
      </c>
      <c r="W119">
        <v>21.97</v>
      </c>
      <c r="X119" t="s">
        <v>79</v>
      </c>
      <c r="Y119">
        <v>0</v>
      </c>
      <c r="Z119">
        <v>42602</v>
      </c>
      <c r="AA119">
        <v>48</v>
      </c>
      <c r="AB119">
        <v>15.96</v>
      </c>
      <c r="AC119" t="str">
        <f t="shared" si="2"/>
        <v>Small</v>
      </c>
      <c r="AD119" t="s">
        <v>578</v>
      </c>
      <c r="AE119" t="s">
        <v>38</v>
      </c>
      <c r="AF119" t="s">
        <v>66</v>
      </c>
      <c r="AG119" t="str">
        <f t="shared" si="3"/>
        <v>no</v>
      </c>
      <c r="AH119" t="s">
        <v>44</v>
      </c>
      <c r="AI119" t="s">
        <v>574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 x14ac:dyDescent="0.3">
      <c r="A120" t="s">
        <v>633</v>
      </c>
      <c r="B120" t="s">
        <v>99</v>
      </c>
      <c r="C120" t="s">
        <v>408</v>
      </c>
      <c r="D120" t="s">
        <v>409</v>
      </c>
      <c r="E120" t="s">
        <v>410</v>
      </c>
      <c r="F120" t="s">
        <v>92</v>
      </c>
      <c r="G120">
        <v>29812</v>
      </c>
      <c r="H120">
        <v>0</v>
      </c>
      <c r="J120" t="s">
        <v>411</v>
      </c>
      <c r="K120" t="s">
        <v>412</v>
      </c>
      <c r="L120" t="s">
        <v>52</v>
      </c>
      <c r="N120" t="s">
        <v>175</v>
      </c>
      <c r="O120" t="s">
        <v>179</v>
      </c>
      <c r="P120">
        <v>391138112</v>
      </c>
      <c r="Q120">
        <v>4770340000000000</v>
      </c>
      <c r="S120">
        <v>10243</v>
      </c>
      <c r="T120">
        <v>8013</v>
      </c>
      <c r="U120">
        <v>0</v>
      </c>
      <c r="V120">
        <v>1.5701388888888886E-2</v>
      </c>
      <c r="W120">
        <v>2.87</v>
      </c>
      <c r="X120" t="s">
        <v>259</v>
      </c>
      <c r="Y120">
        <v>0</v>
      </c>
      <c r="Z120">
        <v>42617</v>
      </c>
      <c r="AA120">
        <v>48</v>
      </c>
      <c r="AB120">
        <v>41.89</v>
      </c>
      <c r="AC120" t="str">
        <f t="shared" si="2"/>
        <v>Small</v>
      </c>
      <c r="AD120" t="s">
        <v>578</v>
      </c>
      <c r="AE120" t="s">
        <v>38</v>
      </c>
      <c r="AF120" t="s">
        <v>66</v>
      </c>
      <c r="AG120" t="str">
        <f t="shared" si="3"/>
        <v>no</v>
      </c>
      <c r="AH120" t="s">
        <v>44</v>
      </c>
      <c r="AI120" t="s">
        <v>574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 x14ac:dyDescent="0.3">
      <c r="A121" t="s">
        <v>593</v>
      </c>
      <c r="B121" t="s">
        <v>28</v>
      </c>
      <c r="C121" t="s">
        <v>154</v>
      </c>
      <c r="D121" t="s">
        <v>161</v>
      </c>
      <c r="E121" t="s">
        <v>156</v>
      </c>
      <c r="F121" t="s">
        <v>92</v>
      </c>
      <c r="G121">
        <v>71301</v>
      </c>
      <c r="H121">
        <v>0</v>
      </c>
      <c r="J121" t="s">
        <v>157</v>
      </c>
      <c r="K121" t="s">
        <v>158</v>
      </c>
      <c r="L121" t="s">
        <v>141</v>
      </c>
      <c r="N121" t="s">
        <v>159</v>
      </c>
      <c r="O121" t="s">
        <v>64</v>
      </c>
      <c r="P121">
        <v>754000000000000</v>
      </c>
      <c r="Q121">
        <v>36254100000000</v>
      </c>
      <c r="S121">
        <v>10063</v>
      </c>
      <c r="T121">
        <v>1506</v>
      </c>
      <c r="U121">
        <v>0</v>
      </c>
      <c r="V121">
        <v>2.3803240740740739E-2</v>
      </c>
      <c r="W121">
        <v>22.77</v>
      </c>
      <c r="X121" t="s">
        <v>162</v>
      </c>
      <c r="Y121">
        <v>0</v>
      </c>
      <c r="Z121">
        <v>42622</v>
      </c>
      <c r="AA121">
        <v>65</v>
      </c>
      <c r="AB121">
        <v>242.23</v>
      </c>
      <c r="AC121" t="str">
        <f t="shared" si="2"/>
        <v>Medium</v>
      </c>
      <c r="AD121" t="s">
        <v>575</v>
      </c>
      <c r="AE121" t="s">
        <v>43</v>
      </c>
      <c r="AF121" t="s">
        <v>39</v>
      </c>
      <c r="AG121" t="str">
        <f t="shared" si="3"/>
        <v>yes</v>
      </c>
      <c r="AH121" t="s">
        <v>58</v>
      </c>
      <c r="AI121" t="s">
        <v>573</v>
      </c>
      <c r="AJ121">
        <v>0</v>
      </c>
      <c r="AK121">
        <v>1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0</v>
      </c>
      <c r="BJ121">
        <v>0</v>
      </c>
      <c r="BK121">
        <v>1</v>
      </c>
      <c r="BL121">
        <v>1</v>
      </c>
    </row>
    <row r="122" spans="1:64" x14ac:dyDescent="0.3">
      <c r="A122" t="s">
        <v>635</v>
      </c>
      <c r="B122" t="s">
        <v>28</v>
      </c>
      <c r="C122" t="s">
        <v>417</v>
      </c>
      <c r="D122" t="s">
        <v>423</v>
      </c>
      <c r="E122" t="s">
        <v>419</v>
      </c>
      <c r="F122" t="s">
        <v>31</v>
      </c>
      <c r="G122">
        <v>7020</v>
      </c>
      <c r="H122">
        <v>0</v>
      </c>
      <c r="J122" t="s">
        <v>420</v>
      </c>
      <c r="K122" t="s">
        <v>421</v>
      </c>
      <c r="L122" t="s">
        <v>52</v>
      </c>
      <c r="N122" t="s">
        <v>45</v>
      </c>
      <c r="O122" t="s">
        <v>304</v>
      </c>
      <c r="P122" t="s">
        <v>422</v>
      </c>
      <c r="Q122">
        <v>4902780000000000</v>
      </c>
      <c r="S122">
        <v>10251</v>
      </c>
      <c r="T122">
        <v>6092</v>
      </c>
      <c r="U122">
        <v>0</v>
      </c>
      <c r="V122">
        <v>2.3803240740740739E-2</v>
      </c>
      <c r="W122">
        <v>22.5</v>
      </c>
      <c r="X122" t="s">
        <v>162</v>
      </c>
      <c r="Y122">
        <v>0</v>
      </c>
      <c r="Z122">
        <v>42622</v>
      </c>
      <c r="AA122">
        <v>52</v>
      </c>
      <c r="AB122">
        <v>39</v>
      </c>
      <c r="AC122" t="str">
        <f t="shared" si="2"/>
        <v>Small</v>
      </c>
      <c r="AD122" t="s">
        <v>575</v>
      </c>
      <c r="AE122" t="s">
        <v>38</v>
      </c>
      <c r="AF122" t="s">
        <v>66</v>
      </c>
      <c r="AG122" t="str">
        <f t="shared" si="3"/>
        <v>yes</v>
      </c>
      <c r="AH122" t="s">
        <v>44</v>
      </c>
      <c r="AI122" t="s">
        <v>573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 x14ac:dyDescent="0.3">
      <c r="A123" t="s">
        <v>609</v>
      </c>
      <c r="B123" t="s">
        <v>99</v>
      </c>
      <c r="C123" t="s">
        <v>274</v>
      </c>
      <c r="D123" t="s">
        <v>275</v>
      </c>
      <c r="E123" t="s">
        <v>196</v>
      </c>
      <c r="F123" t="s">
        <v>92</v>
      </c>
      <c r="G123">
        <v>76011</v>
      </c>
      <c r="H123">
        <v>0</v>
      </c>
      <c r="J123" t="s">
        <v>276</v>
      </c>
      <c r="K123" t="s">
        <v>277</v>
      </c>
      <c r="L123" t="s">
        <v>52</v>
      </c>
      <c r="N123" t="s">
        <v>278</v>
      </c>
      <c r="O123" t="s">
        <v>72</v>
      </c>
      <c r="P123" t="s">
        <v>279</v>
      </c>
      <c r="Q123">
        <v>4658070000000000</v>
      </c>
      <c r="S123">
        <v>10135</v>
      </c>
      <c r="T123">
        <v>5052</v>
      </c>
      <c r="U123">
        <v>0</v>
      </c>
      <c r="V123">
        <v>7.9432870370370369E-3</v>
      </c>
      <c r="W123">
        <v>7.85</v>
      </c>
      <c r="X123" t="s">
        <v>280</v>
      </c>
      <c r="Y123">
        <v>0</v>
      </c>
      <c r="Z123">
        <v>42623</v>
      </c>
      <c r="AA123" t="s">
        <v>56</v>
      </c>
      <c r="AB123">
        <v>220.34</v>
      </c>
      <c r="AC123" t="str">
        <f t="shared" si="2"/>
        <v>Medium</v>
      </c>
      <c r="AD123" t="s">
        <v>575</v>
      </c>
      <c r="AE123" t="s">
        <v>38</v>
      </c>
      <c r="AF123" t="s">
        <v>66</v>
      </c>
      <c r="AG123" t="str">
        <f t="shared" si="3"/>
        <v>yes</v>
      </c>
      <c r="AH123" t="s">
        <v>58</v>
      </c>
      <c r="AI123" t="s">
        <v>572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0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0</v>
      </c>
    </row>
    <row r="124" spans="1:64" x14ac:dyDescent="0.3">
      <c r="A124" t="s">
        <v>617</v>
      </c>
      <c r="B124" t="s">
        <v>28</v>
      </c>
      <c r="C124" t="s">
        <v>319</v>
      </c>
      <c r="D124" t="s">
        <v>320</v>
      </c>
      <c r="E124" t="s">
        <v>321</v>
      </c>
      <c r="F124" t="s">
        <v>92</v>
      </c>
      <c r="G124">
        <v>30345</v>
      </c>
      <c r="H124">
        <v>0</v>
      </c>
      <c r="J124" t="s">
        <v>322</v>
      </c>
      <c r="K124" t="s">
        <v>323</v>
      </c>
      <c r="L124" t="s">
        <v>75</v>
      </c>
      <c r="N124" t="s">
        <v>145</v>
      </c>
      <c r="O124" t="s">
        <v>64</v>
      </c>
      <c r="P124">
        <v>128000000000000</v>
      </c>
      <c r="Q124">
        <v>6011110000000000</v>
      </c>
      <c r="S124">
        <v>10167</v>
      </c>
      <c r="T124">
        <v>1901</v>
      </c>
      <c r="U124">
        <v>0</v>
      </c>
      <c r="V124">
        <v>7.9432870370370369E-3</v>
      </c>
      <c r="W124">
        <v>11.88</v>
      </c>
      <c r="X124" t="s">
        <v>280</v>
      </c>
      <c r="Y124">
        <v>0</v>
      </c>
      <c r="Z124">
        <v>42623</v>
      </c>
      <c r="AA124" t="s">
        <v>56</v>
      </c>
      <c r="AB124">
        <v>267.24</v>
      </c>
      <c r="AC124" t="str">
        <f t="shared" si="2"/>
        <v>Medium</v>
      </c>
      <c r="AD124" t="s">
        <v>575</v>
      </c>
      <c r="AE124" t="s">
        <v>38</v>
      </c>
      <c r="AF124" t="s">
        <v>39</v>
      </c>
      <c r="AG124" t="str">
        <f t="shared" si="3"/>
        <v>yes</v>
      </c>
      <c r="AH124" t="s">
        <v>58</v>
      </c>
      <c r="AI124" t="s">
        <v>572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1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</row>
    <row r="125" spans="1:64" x14ac:dyDescent="0.3">
      <c r="A125" t="s">
        <v>621</v>
      </c>
      <c r="B125" t="s">
        <v>99</v>
      </c>
      <c r="C125" t="s">
        <v>342</v>
      </c>
      <c r="D125" t="s">
        <v>343</v>
      </c>
      <c r="F125" t="s">
        <v>64</v>
      </c>
      <c r="G125">
        <v>93600</v>
      </c>
      <c r="H125">
        <v>0</v>
      </c>
      <c r="J125" t="s">
        <v>344</v>
      </c>
      <c r="K125" t="s">
        <v>345</v>
      </c>
      <c r="L125" t="s">
        <v>95</v>
      </c>
      <c r="N125" t="s">
        <v>121</v>
      </c>
      <c r="O125" t="s">
        <v>72</v>
      </c>
      <c r="P125" t="s">
        <v>346</v>
      </c>
      <c r="Q125">
        <v>370889000000000</v>
      </c>
      <c r="S125">
        <v>10187</v>
      </c>
      <c r="T125">
        <v>2961</v>
      </c>
      <c r="U125">
        <v>0</v>
      </c>
      <c r="V125">
        <v>7.9432870370370369E-3</v>
      </c>
      <c r="W125">
        <v>19.25</v>
      </c>
      <c r="X125" t="s">
        <v>280</v>
      </c>
      <c r="Y125">
        <v>0</v>
      </c>
      <c r="Z125">
        <v>42623</v>
      </c>
      <c r="AA125">
        <v>75</v>
      </c>
      <c r="AB125">
        <v>260.83999999999997</v>
      </c>
      <c r="AC125" t="str">
        <f t="shared" si="2"/>
        <v>Medium</v>
      </c>
      <c r="AD125" t="s">
        <v>575</v>
      </c>
      <c r="AE125" t="s">
        <v>38</v>
      </c>
      <c r="AF125" t="s">
        <v>39</v>
      </c>
      <c r="AG125" t="str">
        <f t="shared" si="3"/>
        <v>yes</v>
      </c>
      <c r="AH125" t="s">
        <v>58</v>
      </c>
      <c r="AI125" t="s">
        <v>573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</row>
    <row r="126" spans="1:64" x14ac:dyDescent="0.3">
      <c r="A126" t="s">
        <v>640</v>
      </c>
      <c r="B126" t="s">
        <v>28</v>
      </c>
      <c r="C126" t="s">
        <v>444</v>
      </c>
      <c r="D126" t="s">
        <v>445</v>
      </c>
      <c r="E126" t="s">
        <v>171</v>
      </c>
      <c r="F126" t="s">
        <v>92</v>
      </c>
      <c r="G126">
        <v>20705</v>
      </c>
      <c r="H126">
        <v>0</v>
      </c>
      <c r="J126" t="s">
        <v>446</v>
      </c>
      <c r="K126" t="s">
        <v>447</v>
      </c>
      <c r="L126" t="s">
        <v>141</v>
      </c>
      <c r="N126" t="s">
        <v>448</v>
      </c>
      <c r="O126" t="s">
        <v>179</v>
      </c>
      <c r="P126">
        <v>751454315</v>
      </c>
      <c r="Q126">
        <v>36352800000000</v>
      </c>
      <c r="S126">
        <v>10283</v>
      </c>
      <c r="T126">
        <v>5101</v>
      </c>
      <c r="U126">
        <v>0</v>
      </c>
      <c r="V126">
        <v>7.9432870370370369E-3</v>
      </c>
      <c r="W126">
        <v>11.45</v>
      </c>
      <c r="X126" t="s">
        <v>280</v>
      </c>
      <c r="Y126">
        <v>0</v>
      </c>
      <c r="Z126">
        <v>42623</v>
      </c>
      <c r="AA126">
        <v>68</v>
      </c>
      <c r="AB126">
        <v>270.27</v>
      </c>
      <c r="AC126" t="str">
        <f t="shared" si="2"/>
        <v>Medium</v>
      </c>
      <c r="AD126" t="s">
        <v>575</v>
      </c>
      <c r="AE126" t="s">
        <v>43</v>
      </c>
      <c r="AF126" t="s">
        <v>39</v>
      </c>
      <c r="AG126" t="str">
        <f t="shared" si="3"/>
        <v>yes</v>
      </c>
      <c r="AH126" t="s">
        <v>58</v>
      </c>
      <c r="AI126" t="s">
        <v>573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</row>
    <row r="127" spans="1:64" x14ac:dyDescent="0.3">
      <c r="A127" t="s">
        <v>646</v>
      </c>
      <c r="B127" t="s">
        <v>28</v>
      </c>
      <c r="C127" t="s">
        <v>474</v>
      </c>
      <c r="D127" t="s">
        <v>475</v>
      </c>
      <c r="E127" t="s">
        <v>301</v>
      </c>
      <c r="F127" t="s">
        <v>31</v>
      </c>
      <c r="G127">
        <v>21010</v>
      </c>
      <c r="H127">
        <v>0</v>
      </c>
      <c r="J127" t="s">
        <v>476</v>
      </c>
      <c r="K127" t="s">
        <v>477</v>
      </c>
      <c r="L127" t="s">
        <v>75</v>
      </c>
      <c r="N127" t="s">
        <v>168</v>
      </c>
      <c r="O127" t="s">
        <v>64</v>
      </c>
      <c r="P127">
        <v>283000000000000</v>
      </c>
      <c r="Q127">
        <v>6011470000000000</v>
      </c>
      <c r="S127">
        <v>10307</v>
      </c>
      <c r="T127">
        <v>748</v>
      </c>
      <c r="U127">
        <v>0</v>
      </c>
      <c r="V127">
        <v>7.9432870370370369E-3</v>
      </c>
      <c r="W127">
        <v>11.45</v>
      </c>
      <c r="X127" t="s">
        <v>280</v>
      </c>
      <c r="Y127">
        <v>0</v>
      </c>
      <c r="Z127">
        <v>42623</v>
      </c>
      <c r="AA127" t="s">
        <v>56</v>
      </c>
      <c r="AB127">
        <v>40.270000000000003</v>
      </c>
      <c r="AC127" t="str">
        <f t="shared" si="2"/>
        <v>Small</v>
      </c>
      <c r="AD127" t="s">
        <v>575</v>
      </c>
      <c r="AE127" t="s">
        <v>38</v>
      </c>
      <c r="AF127" t="s">
        <v>66</v>
      </c>
      <c r="AG127" t="str">
        <f t="shared" si="3"/>
        <v>yes</v>
      </c>
      <c r="AH127" t="s">
        <v>44</v>
      </c>
      <c r="AI127" t="s">
        <v>572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 x14ac:dyDescent="0.3">
      <c r="A128" t="s">
        <v>602</v>
      </c>
      <c r="B128" t="s">
        <v>99</v>
      </c>
      <c r="C128" t="s">
        <v>225</v>
      </c>
      <c r="D128" t="s">
        <v>226</v>
      </c>
      <c r="E128" t="s">
        <v>179</v>
      </c>
      <c r="F128" t="s">
        <v>92</v>
      </c>
      <c r="G128">
        <v>94508</v>
      </c>
      <c r="H128">
        <v>0</v>
      </c>
      <c r="J128" t="s">
        <v>227</v>
      </c>
      <c r="K128" t="s">
        <v>228</v>
      </c>
      <c r="L128" t="s">
        <v>141</v>
      </c>
      <c r="N128" t="s">
        <v>133</v>
      </c>
      <c r="O128" t="s">
        <v>72</v>
      </c>
      <c r="P128" t="s">
        <v>229</v>
      </c>
      <c r="Q128">
        <v>36818100000000</v>
      </c>
      <c r="S128">
        <v>10107</v>
      </c>
      <c r="T128">
        <v>2582</v>
      </c>
      <c r="U128">
        <v>0</v>
      </c>
      <c r="V128">
        <v>2.3221064814814812E-2</v>
      </c>
      <c r="W128">
        <v>8.99</v>
      </c>
      <c r="X128" t="s">
        <v>159</v>
      </c>
      <c r="Y128">
        <v>0</v>
      </c>
      <c r="Z128">
        <v>42633</v>
      </c>
      <c r="AA128">
        <v>64</v>
      </c>
      <c r="AB128">
        <v>25.77</v>
      </c>
      <c r="AC128" t="str">
        <f t="shared" si="2"/>
        <v>Small</v>
      </c>
      <c r="AD128" t="s">
        <v>575</v>
      </c>
      <c r="AE128" t="s">
        <v>38</v>
      </c>
      <c r="AF128" t="s">
        <v>66</v>
      </c>
      <c r="AG128" t="str">
        <f t="shared" si="3"/>
        <v>yes</v>
      </c>
      <c r="AH128" t="s">
        <v>44</v>
      </c>
      <c r="AI128" t="s">
        <v>573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1</v>
      </c>
      <c r="AW128">
        <v>1</v>
      </c>
      <c r="AX128">
        <v>0</v>
      </c>
      <c r="AY128">
        <v>0</v>
      </c>
      <c r="AZ128">
        <v>1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 x14ac:dyDescent="0.3">
      <c r="A129" t="s">
        <v>622</v>
      </c>
      <c r="B129" t="s">
        <v>99</v>
      </c>
      <c r="C129" t="s">
        <v>347</v>
      </c>
      <c r="D129" t="s">
        <v>348</v>
      </c>
      <c r="E129" t="s">
        <v>196</v>
      </c>
      <c r="F129" t="s">
        <v>92</v>
      </c>
      <c r="G129">
        <v>78664</v>
      </c>
      <c r="H129">
        <v>0</v>
      </c>
      <c r="J129" t="s">
        <v>349</v>
      </c>
      <c r="K129" t="s">
        <v>350</v>
      </c>
      <c r="L129" t="s">
        <v>52</v>
      </c>
      <c r="N129" t="s">
        <v>133</v>
      </c>
      <c r="O129" t="s">
        <v>72</v>
      </c>
      <c r="P129" t="s">
        <v>351</v>
      </c>
      <c r="Q129">
        <v>4276370000000000</v>
      </c>
      <c r="S129">
        <v>10195</v>
      </c>
      <c r="T129">
        <v>1562</v>
      </c>
      <c r="U129">
        <v>0</v>
      </c>
      <c r="V129">
        <v>3.9914351851851854E-2</v>
      </c>
      <c r="W129">
        <v>24.08</v>
      </c>
      <c r="X129" t="s">
        <v>352</v>
      </c>
      <c r="Y129">
        <v>0</v>
      </c>
      <c r="Z129">
        <v>42633</v>
      </c>
      <c r="AA129">
        <v>68</v>
      </c>
      <c r="AB129">
        <v>31.03</v>
      </c>
      <c r="AC129" t="str">
        <f t="shared" si="2"/>
        <v>Small</v>
      </c>
      <c r="AD129" t="s">
        <v>576</v>
      </c>
      <c r="AE129" t="s">
        <v>43</v>
      </c>
      <c r="AF129" t="s">
        <v>66</v>
      </c>
      <c r="AG129" t="str">
        <f t="shared" si="3"/>
        <v>no</v>
      </c>
      <c r="AH129" t="s">
        <v>44</v>
      </c>
      <c r="AI129" t="s">
        <v>573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 x14ac:dyDescent="0.3">
      <c r="A130" t="s">
        <v>648</v>
      </c>
      <c r="B130" t="s">
        <v>99</v>
      </c>
      <c r="C130" t="s">
        <v>482</v>
      </c>
      <c r="D130" t="s">
        <v>483</v>
      </c>
      <c r="E130" t="s">
        <v>484</v>
      </c>
      <c r="F130" t="s">
        <v>31</v>
      </c>
      <c r="G130">
        <v>31056</v>
      </c>
      <c r="H130">
        <v>0</v>
      </c>
      <c r="J130" t="s">
        <v>485</v>
      </c>
      <c r="K130" t="s">
        <v>486</v>
      </c>
      <c r="L130" t="s">
        <v>141</v>
      </c>
      <c r="N130" t="s">
        <v>98</v>
      </c>
      <c r="O130" t="s">
        <v>64</v>
      </c>
      <c r="P130">
        <v>115000000000000</v>
      </c>
      <c r="Q130">
        <v>36706100000000</v>
      </c>
      <c r="S130">
        <v>10315</v>
      </c>
      <c r="T130">
        <v>6060</v>
      </c>
      <c r="U130">
        <v>0</v>
      </c>
      <c r="V130">
        <v>3.9914351851851854E-2</v>
      </c>
      <c r="W130">
        <v>9</v>
      </c>
      <c r="X130" t="s">
        <v>352</v>
      </c>
      <c r="Y130">
        <v>0</v>
      </c>
      <c r="Z130">
        <v>42633</v>
      </c>
      <c r="AA130" t="s">
        <v>56</v>
      </c>
      <c r="AB130">
        <v>102.6</v>
      </c>
      <c r="AC130" t="str">
        <f t="shared" si="2"/>
        <v>Medium</v>
      </c>
      <c r="AD130" t="s">
        <v>575</v>
      </c>
      <c r="AE130" t="s">
        <v>43</v>
      </c>
      <c r="AF130" t="s">
        <v>66</v>
      </c>
      <c r="AG130" t="str">
        <f t="shared" si="3"/>
        <v>yes</v>
      </c>
      <c r="AH130" t="s">
        <v>40</v>
      </c>
      <c r="AI130" t="s">
        <v>572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0</v>
      </c>
    </row>
    <row r="131" spans="1:64" x14ac:dyDescent="0.3">
      <c r="A131" t="s">
        <v>579</v>
      </c>
      <c r="B131" t="s">
        <v>28</v>
      </c>
      <c r="C131" t="s">
        <v>580</v>
      </c>
      <c r="D131" t="s">
        <v>29</v>
      </c>
      <c r="E131" t="s">
        <v>30</v>
      </c>
      <c r="F131" t="s">
        <v>31</v>
      </c>
      <c r="G131">
        <v>6040</v>
      </c>
      <c r="H131">
        <v>0</v>
      </c>
      <c r="J131" t="s">
        <v>32</v>
      </c>
      <c r="K131" t="s">
        <v>33</v>
      </c>
      <c r="L131" t="s">
        <v>34</v>
      </c>
      <c r="N131" t="s">
        <v>35</v>
      </c>
      <c r="O131" t="s">
        <v>36</v>
      </c>
      <c r="P131">
        <v>22867928</v>
      </c>
      <c r="Q131">
        <v>5172170000000000</v>
      </c>
      <c r="S131">
        <v>10003</v>
      </c>
      <c r="T131">
        <v>3323</v>
      </c>
      <c r="U131">
        <v>0</v>
      </c>
      <c r="V131">
        <v>2.7155092592592592E-2</v>
      </c>
      <c r="W131">
        <v>31.88</v>
      </c>
      <c r="X131" t="s">
        <v>42</v>
      </c>
      <c r="Y131">
        <v>0</v>
      </c>
      <c r="Z131">
        <v>42640</v>
      </c>
      <c r="AA131">
        <v>27</v>
      </c>
      <c r="AB131">
        <v>26.25</v>
      </c>
      <c r="AC131" t="str">
        <f t="shared" ref="AC131:AC194" si="4">IF(AB131&gt;300,"Large",IF(AB131&gt;100,"Medium", IF(AB131&gt;0,"Small")))</f>
        <v>Small</v>
      </c>
      <c r="AD131" t="s">
        <v>575</v>
      </c>
      <c r="AE131" t="s">
        <v>43</v>
      </c>
      <c r="AF131" t="s">
        <v>39</v>
      </c>
      <c r="AG131" t="str">
        <f t="shared" ref="AG131:AG194" si="5">IF(AD131="complete","yes","no")</f>
        <v>yes</v>
      </c>
      <c r="AH131" t="s">
        <v>44</v>
      </c>
      <c r="AI131" t="s">
        <v>571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 x14ac:dyDescent="0.3">
      <c r="A132" t="s">
        <v>642</v>
      </c>
      <c r="B132" t="s">
        <v>28</v>
      </c>
      <c r="C132" t="s">
        <v>453</v>
      </c>
      <c r="D132" t="s">
        <v>454</v>
      </c>
      <c r="E132" t="s">
        <v>455</v>
      </c>
      <c r="F132" t="s">
        <v>92</v>
      </c>
      <c r="G132">
        <v>97701</v>
      </c>
      <c r="H132">
        <v>0</v>
      </c>
      <c r="J132" t="s">
        <v>456</v>
      </c>
      <c r="K132" t="s">
        <v>457</v>
      </c>
      <c r="L132" t="s">
        <v>34</v>
      </c>
      <c r="N132" t="s">
        <v>221</v>
      </c>
      <c r="O132" t="s">
        <v>31</v>
      </c>
      <c r="P132" t="s">
        <v>458</v>
      </c>
      <c r="Q132">
        <v>5109090000000000</v>
      </c>
      <c r="S132">
        <v>10291</v>
      </c>
      <c r="T132">
        <v>6252</v>
      </c>
      <c r="U132">
        <v>0</v>
      </c>
      <c r="V132">
        <v>2.7155092592592592E-2</v>
      </c>
      <c r="W132">
        <v>12.85</v>
      </c>
      <c r="X132" t="s">
        <v>42</v>
      </c>
      <c r="Y132">
        <v>0</v>
      </c>
      <c r="Z132">
        <v>42640</v>
      </c>
      <c r="AA132">
        <v>79</v>
      </c>
      <c r="AB132">
        <v>260.52</v>
      </c>
      <c r="AC132" t="str">
        <f t="shared" si="4"/>
        <v>Medium</v>
      </c>
      <c r="AD132" t="s">
        <v>575</v>
      </c>
      <c r="AE132" t="s">
        <v>43</v>
      </c>
      <c r="AF132" t="s">
        <v>39</v>
      </c>
      <c r="AG132" t="str">
        <f t="shared" si="5"/>
        <v>yes</v>
      </c>
      <c r="AH132" t="s">
        <v>58</v>
      </c>
      <c r="AI132" t="s">
        <v>573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0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</row>
    <row r="133" spans="1:64" x14ac:dyDescent="0.3">
      <c r="A133" t="s">
        <v>656</v>
      </c>
      <c r="B133" t="s">
        <v>28</v>
      </c>
      <c r="C133" t="s">
        <v>525</v>
      </c>
      <c r="D133" t="s">
        <v>526</v>
      </c>
      <c r="E133" t="s">
        <v>267</v>
      </c>
      <c r="F133" t="s">
        <v>218</v>
      </c>
      <c r="G133">
        <v>2774</v>
      </c>
      <c r="H133">
        <v>0</v>
      </c>
      <c r="J133" t="s">
        <v>527</v>
      </c>
      <c r="K133" t="s">
        <v>528</v>
      </c>
      <c r="L133" t="s">
        <v>95</v>
      </c>
      <c r="N133" t="s">
        <v>363</v>
      </c>
      <c r="O133" t="s">
        <v>64</v>
      </c>
      <c r="P133">
        <v>814000000000000</v>
      </c>
      <c r="Q133">
        <v>375546000000000</v>
      </c>
      <c r="S133">
        <v>10347</v>
      </c>
      <c r="T133">
        <v>9145</v>
      </c>
      <c r="U133">
        <v>0</v>
      </c>
      <c r="V133">
        <v>2.7155092592592592E-2</v>
      </c>
      <c r="W133">
        <v>18.239999999999998</v>
      </c>
      <c r="X133" t="s">
        <v>42</v>
      </c>
      <c r="Y133">
        <v>0</v>
      </c>
      <c r="Z133">
        <v>42640</v>
      </c>
      <c r="AA133">
        <v>54</v>
      </c>
      <c r="AB133">
        <v>27.48</v>
      </c>
      <c r="AC133" t="str">
        <f t="shared" si="4"/>
        <v>Small</v>
      </c>
      <c r="AD133" t="s">
        <v>575</v>
      </c>
      <c r="AE133" t="s">
        <v>38</v>
      </c>
      <c r="AF133" t="s">
        <v>66</v>
      </c>
      <c r="AG133" t="str">
        <f t="shared" si="5"/>
        <v>yes</v>
      </c>
      <c r="AH133" t="s">
        <v>44</v>
      </c>
      <c r="AI133" t="s">
        <v>573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1</v>
      </c>
      <c r="AW133">
        <v>1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 x14ac:dyDescent="0.3">
      <c r="A134" t="s">
        <v>584</v>
      </c>
      <c r="B134" t="s">
        <v>28</v>
      </c>
      <c r="C134" t="s">
        <v>70</v>
      </c>
      <c r="D134" t="s">
        <v>71</v>
      </c>
      <c r="F134" t="s">
        <v>72</v>
      </c>
      <c r="G134">
        <v>37511</v>
      </c>
      <c r="H134">
        <v>0</v>
      </c>
      <c r="J134" t="s">
        <v>73</v>
      </c>
      <c r="K134" t="s">
        <v>74</v>
      </c>
      <c r="L134" t="s">
        <v>75</v>
      </c>
      <c r="N134" t="s">
        <v>76</v>
      </c>
      <c r="O134" t="s">
        <v>31</v>
      </c>
      <c r="P134" t="s">
        <v>77</v>
      </c>
      <c r="Q134">
        <v>6011940000000000</v>
      </c>
      <c r="S134">
        <v>10019</v>
      </c>
      <c r="T134">
        <v>5456</v>
      </c>
      <c r="U134">
        <v>0</v>
      </c>
      <c r="V134">
        <v>3.5241898148148147E-2</v>
      </c>
      <c r="W134">
        <v>23.37</v>
      </c>
      <c r="X134" t="s">
        <v>80</v>
      </c>
      <c r="Y134">
        <v>0</v>
      </c>
      <c r="Z134">
        <v>42646</v>
      </c>
      <c r="AA134">
        <v>53</v>
      </c>
      <c r="AB134">
        <v>36.5</v>
      </c>
      <c r="AC134" t="str">
        <f t="shared" si="4"/>
        <v>Small</v>
      </c>
      <c r="AD134" t="s">
        <v>575</v>
      </c>
      <c r="AE134" t="s">
        <v>38</v>
      </c>
      <c r="AF134" t="s">
        <v>66</v>
      </c>
      <c r="AG134" t="str">
        <f t="shared" si="5"/>
        <v>yes</v>
      </c>
      <c r="AH134" t="s">
        <v>44</v>
      </c>
      <c r="AI134" t="s">
        <v>573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 x14ac:dyDescent="0.3">
      <c r="A135" t="s">
        <v>583</v>
      </c>
      <c r="B135" t="s">
        <v>28</v>
      </c>
      <c r="C135" t="s">
        <v>59</v>
      </c>
      <c r="D135" t="s">
        <v>60</v>
      </c>
      <c r="E135" t="s">
        <v>61</v>
      </c>
      <c r="F135" t="s">
        <v>31</v>
      </c>
      <c r="G135">
        <v>88041</v>
      </c>
      <c r="H135">
        <v>0</v>
      </c>
      <c r="J135" t="s">
        <v>62</v>
      </c>
      <c r="K135" t="s">
        <v>63</v>
      </c>
      <c r="L135" t="s">
        <v>52</v>
      </c>
      <c r="N135" t="s">
        <v>46</v>
      </c>
      <c r="O135" t="s">
        <v>64</v>
      </c>
      <c r="P135">
        <v>148000000000000</v>
      </c>
      <c r="Q135">
        <v>4563880000000000</v>
      </c>
      <c r="S135">
        <v>10015</v>
      </c>
      <c r="T135">
        <v>1556</v>
      </c>
      <c r="U135">
        <v>0</v>
      </c>
      <c r="V135">
        <v>2.5519675925925925E-2</v>
      </c>
      <c r="W135">
        <v>19.809999999999999</v>
      </c>
      <c r="X135" t="s">
        <v>68</v>
      </c>
      <c r="Y135">
        <v>0</v>
      </c>
      <c r="Z135">
        <v>42648</v>
      </c>
      <c r="AA135">
        <v>60</v>
      </c>
      <c r="AB135">
        <v>34.04</v>
      </c>
      <c r="AC135" t="str">
        <f t="shared" si="4"/>
        <v>Small</v>
      </c>
      <c r="AD135" t="s">
        <v>575</v>
      </c>
      <c r="AE135" t="s">
        <v>38</v>
      </c>
      <c r="AF135" t="s">
        <v>66</v>
      </c>
      <c r="AG135" t="str">
        <f t="shared" si="5"/>
        <v>yes</v>
      </c>
      <c r="AH135" t="s">
        <v>44</v>
      </c>
      <c r="AI135" t="s">
        <v>573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0</v>
      </c>
      <c r="BL135">
        <v>0</v>
      </c>
    </row>
    <row r="136" spans="1:64" x14ac:dyDescent="0.3">
      <c r="A136" t="s">
        <v>638</v>
      </c>
      <c r="B136" t="s">
        <v>99</v>
      </c>
      <c r="C136" t="s">
        <v>433</v>
      </c>
      <c r="D136" t="s">
        <v>434</v>
      </c>
      <c r="E136" t="s">
        <v>435</v>
      </c>
      <c r="F136" t="s">
        <v>92</v>
      </c>
      <c r="G136">
        <v>58622</v>
      </c>
      <c r="H136">
        <v>0</v>
      </c>
      <c r="J136" t="s">
        <v>436</v>
      </c>
      <c r="K136" t="s">
        <v>437</v>
      </c>
      <c r="L136" t="s">
        <v>95</v>
      </c>
      <c r="N136" t="s">
        <v>438</v>
      </c>
      <c r="O136" t="s">
        <v>64</v>
      </c>
      <c r="P136">
        <v>215000000000000</v>
      </c>
      <c r="Q136">
        <v>344896000000000</v>
      </c>
      <c r="S136">
        <v>10271</v>
      </c>
      <c r="T136">
        <v>5712</v>
      </c>
      <c r="U136">
        <v>0</v>
      </c>
      <c r="V136">
        <v>4.0797453703703704E-2</v>
      </c>
      <c r="W136">
        <v>50</v>
      </c>
      <c r="X136" t="s">
        <v>199</v>
      </c>
      <c r="Y136">
        <v>0</v>
      </c>
      <c r="Z136">
        <v>42648</v>
      </c>
      <c r="AA136">
        <v>31</v>
      </c>
      <c r="AB136">
        <v>46.48</v>
      </c>
      <c r="AC136" t="str">
        <f t="shared" si="4"/>
        <v>Small</v>
      </c>
      <c r="AD136" t="s">
        <v>575</v>
      </c>
      <c r="AE136" t="s">
        <v>38</v>
      </c>
      <c r="AF136" t="s">
        <v>66</v>
      </c>
      <c r="AG136" t="str">
        <f t="shared" si="5"/>
        <v>yes</v>
      </c>
      <c r="AH136" t="s">
        <v>44</v>
      </c>
      <c r="AI136" t="s">
        <v>571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 x14ac:dyDescent="0.3">
      <c r="A137" t="s">
        <v>599</v>
      </c>
      <c r="B137" t="s">
        <v>99</v>
      </c>
      <c r="C137" t="s">
        <v>203</v>
      </c>
      <c r="D137" t="s">
        <v>204</v>
      </c>
      <c r="E137" t="s">
        <v>179</v>
      </c>
      <c r="F137" t="s">
        <v>92</v>
      </c>
      <c r="G137">
        <v>92805</v>
      </c>
      <c r="H137">
        <v>0</v>
      </c>
      <c r="J137" t="s">
        <v>205</v>
      </c>
      <c r="K137" t="s">
        <v>206</v>
      </c>
      <c r="L137" t="s">
        <v>141</v>
      </c>
      <c r="N137" t="s">
        <v>159</v>
      </c>
      <c r="O137" t="s">
        <v>64</v>
      </c>
      <c r="P137">
        <v>700000000000000</v>
      </c>
      <c r="Q137">
        <v>36944300000000</v>
      </c>
      <c r="S137">
        <v>10095</v>
      </c>
      <c r="T137">
        <v>3305</v>
      </c>
      <c r="U137">
        <v>0</v>
      </c>
      <c r="V137">
        <v>1.9393518518518518E-2</v>
      </c>
      <c r="W137">
        <v>33.99</v>
      </c>
      <c r="X137" t="s">
        <v>208</v>
      </c>
      <c r="Y137">
        <v>0</v>
      </c>
      <c r="Z137">
        <v>42649</v>
      </c>
      <c r="AA137" t="s">
        <v>207</v>
      </c>
      <c r="AB137">
        <v>24.92</v>
      </c>
      <c r="AC137" t="str">
        <f t="shared" si="4"/>
        <v>Small</v>
      </c>
      <c r="AD137" t="s">
        <v>575</v>
      </c>
      <c r="AE137" t="s">
        <v>38</v>
      </c>
      <c r="AF137" t="s">
        <v>39</v>
      </c>
      <c r="AG137" t="str">
        <f t="shared" si="5"/>
        <v>yes</v>
      </c>
      <c r="AH137" t="s">
        <v>44</v>
      </c>
      <c r="AI137" t="s">
        <v>572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 x14ac:dyDescent="0.3">
      <c r="A138" t="s">
        <v>601</v>
      </c>
      <c r="B138" t="s">
        <v>99</v>
      </c>
      <c r="C138" t="s">
        <v>215</v>
      </c>
      <c r="D138" t="s">
        <v>216</v>
      </c>
      <c r="E138" t="s">
        <v>217</v>
      </c>
      <c r="F138" t="s">
        <v>218</v>
      </c>
      <c r="G138">
        <v>5255</v>
      </c>
      <c r="H138">
        <v>0</v>
      </c>
      <c r="J138" t="s">
        <v>219</v>
      </c>
      <c r="K138" t="s">
        <v>220</v>
      </c>
      <c r="L138" t="s">
        <v>95</v>
      </c>
      <c r="N138" t="s">
        <v>221</v>
      </c>
      <c r="O138" t="s">
        <v>31</v>
      </c>
      <c r="P138" t="s">
        <v>222</v>
      </c>
      <c r="Q138">
        <v>371632000000000</v>
      </c>
      <c r="S138">
        <v>10103</v>
      </c>
      <c r="T138">
        <v>3746</v>
      </c>
      <c r="U138">
        <v>0</v>
      </c>
      <c r="V138">
        <v>1.9393518518518518E-2</v>
      </c>
      <c r="W138">
        <v>6.37</v>
      </c>
      <c r="X138" t="s">
        <v>208</v>
      </c>
      <c r="Y138">
        <v>0</v>
      </c>
      <c r="Z138">
        <v>42649</v>
      </c>
      <c r="AA138">
        <v>51</v>
      </c>
      <c r="AB138">
        <v>10.85</v>
      </c>
      <c r="AC138" t="str">
        <f t="shared" si="4"/>
        <v>Small</v>
      </c>
      <c r="AD138" t="s">
        <v>575</v>
      </c>
      <c r="AE138" t="s">
        <v>38</v>
      </c>
      <c r="AF138" t="s">
        <v>66</v>
      </c>
      <c r="AG138" t="str">
        <f t="shared" si="5"/>
        <v>yes</v>
      </c>
      <c r="AH138" t="s">
        <v>44</v>
      </c>
      <c r="AI138" t="s">
        <v>574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 x14ac:dyDescent="0.3">
      <c r="A139" t="s">
        <v>620</v>
      </c>
      <c r="B139" t="s">
        <v>99</v>
      </c>
      <c r="C139" t="s">
        <v>336</v>
      </c>
      <c r="D139" t="s">
        <v>337</v>
      </c>
      <c r="E139" t="s">
        <v>338</v>
      </c>
      <c r="F139" t="s">
        <v>92</v>
      </c>
      <c r="G139">
        <v>98002</v>
      </c>
      <c r="H139">
        <v>0</v>
      </c>
      <c r="J139" t="s">
        <v>339</v>
      </c>
      <c r="K139" t="s">
        <v>340</v>
      </c>
      <c r="L139" t="s">
        <v>537</v>
      </c>
      <c r="N139" t="s">
        <v>244</v>
      </c>
      <c r="O139" t="s">
        <v>31</v>
      </c>
      <c r="P139" t="s">
        <v>341</v>
      </c>
      <c r="Q139">
        <v>3528500000000000</v>
      </c>
      <c r="S139">
        <v>10183</v>
      </c>
      <c r="T139">
        <v>6950</v>
      </c>
      <c r="U139">
        <v>0</v>
      </c>
      <c r="V139">
        <v>1.9393518518518518E-2</v>
      </c>
      <c r="W139">
        <v>10.45</v>
      </c>
      <c r="X139" t="s">
        <v>208</v>
      </c>
      <c r="Y139">
        <v>0</v>
      </c>
      <c r="Z139">
        <v>42649</v>
      </c>
      <c r="AA139">
        <v>35</v>
      </c>
      <c r="AB139">
        <v>42.66</v>
      </c>
      <c r="AC139" t="str">
        <f t="shared" si="4"/>
        <v>Small</v>
      </c>
      <c r="AD139" t="s">
        <v>575</v>
      </c>
      <c r="AE139" t="s">
        <v>38</v>
      </c>
      <c r="AF139" t="s">
        <v>66</v>
      </c>
      <c r="AG139" t="str">
        <f t="shared" si="5"/>
        <v>yes</v>
      </c>
      <c r="AH139" t="s">
        <v>44</v>
      </c>
      <c r="AI139" t="s">
        <v>571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 x14ac:dyDescent="0.3">
      <c r="A140" t="s">
        <v>635</v>
      </c>
      <c r="B140" t="s">
        <v>28</v>
      </c>
      <c r="C140" t="s">
        <v>417</v>
      </c>
      <c r="D140" t="s">
        <v>423</v>
      </c>
      <c r="E140" t="s">
        <v>419</v>
      </c>
      <c r="F140" t="s">
        <v>31</v>
      </c>
      <c r="G140">
        <v>7020</v>
      </c>
      <c r="H140">
        <v>0</v>
      </c>
      <c r="J140" t="s">
        <v>420</v>
      </c>
      <c r="K140" t="s">
        <v>421</v>
      </c>
      <c r="L140" t="s">
        <v>52</v>
      </c>
      <c r="N140" t="s">
        <v>45</v>
      </c>
      <c r="O140" t="s">
        <v>304</v>
      </c>
      <c r="P140" t="s">
        <v>422</v>
      </c>
      <c r="Q140">
        <v>4702330000000000</v>
      </c>
      <c r="S140">
        <v>10251</v>
      </c>
      <c r="T140">
        <v>6612</v>
      </c>
      <c r="U140">
        <v>0</v>
      </c>
      <c r="V140">
        <v>1.9393518518518518E-2</v>
      </c>
      <c r="W140">
        <v>13.7</v>
      </c>
      <c r="X140" t="s">
        <v>208</v>
      </c>
      <c r="Y140">
        <v>0</v>
      </c>
      <c r="Z140">
        <v>42649</v>
      </c>
      <c r="AA140">
        <v>52</v>
      </c>
      <c r="AB140">
        <v>42.8</v>
      </c>
      <c r="AC140" t="str">
        <f t="shared" si="4"/>
        <v>Small</v>
      </c>
      <c r="AD140" t="s">
        <v>575</v>
      </c>
      <c r="AE140" t="s">
        <v>38</v>
      </c>
      <c r="AF140" t="s">
        <v>66</v>
      </c>
      <c r="AG140" t="str">
        <f t="shared" si="5"/>
        <v>yes</v>
      </c>
      <c r="AH140" t="s">
        <v>44</v>
      </c>
      <c r="AI140" t="s">
        <v>573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1</v>
      </c>
      <c r="AW140">
        <v>1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 x14ac:dyDescent="0.3">
      <c r="A141" t="s">
        <v>644</v>
      </c>
      <c r="B141" t="s">
        <v>99</v>
      </c>
      <c r="C141" t="s">
        <v>465</v>
      </c>
      <c r="D141" t="s">
        <v>466</v>
      </c>
      <c r="F141" t="s">
        <v>49</v>
      </c>
      <c r="G141">
        <v>83471</v>
      </c>
      <c r="H141">
        <v>0</v>
      </c>
      <c r="J141" t="s">
        <v>467</v>
      </c>
      <c r="K141" t="s">
        <v>468</v>
      </c>
      <c r="L141" t="s">
        <v>141</v>
      </c>
      <c r="N141" t="s">
        <v>208</v>
      </c>
      <c r="O141" t="s">
        <v>179</v>
      </c>
      <c r="P141">
        <v>777215385</v>
      </c>
      <c r="Q141">
        <v>36080700000000</v>
      </c>
      <c r="S141">
        <v>10299</v>
      </c>
      <c r="T141">
        <v>7316</v>
      </c>
      <c r="U141">
        <v>0</v>
      </c>
      <c r="V141">
        <v>1.9393518518518518E-2</v>
      </c>
      <c r="W141">
        <v>14.28</v>
      </c>
      <c r="X141" t="s">
        <v>208</v>
      </c>
      <c r="Y141">
        <v>0</v>
      </c>
      <c r="Z141">
        <v>42649</v>
      </c>
      <c r="AA141">
        <v>41</v>
      </c>
      <c r="AB141">
        <v>48.44</v>
      </c>
      <c r="AC141" t="str">
        <f t="shared" si="4"/>
        <v>Small</v>
      </c>
      <c r="AD141" t="s">
        <v>578</v>
      </c>
      <c r="AE141" t="s">
        <v>38</v>
      </c>
      <c r="AF141" t="s">
        <v>66</v>
      </c>
      <c r="AG141" t="str">
        <f t="shared" si="5"/>
        <v>no</v>
      </c>
      <c r="AH141" t="s">
        <v>44</v>
      </c>
      <c r="AI141" t="s">
        <v>571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 x14ac:dyDescent="0.3">
      <c r="A142" t="s">
        <v>613</v>
      </c>
      <c r="B142" t="s">
        <v>28</v>
      </c>
      <c r="C142" t="s">
        <v>299</v>
      </c>
      <c r="D142" t="s">
        <v>300</v>
      </c>
      <c r="E142" t="s">
        <v>301</v>
      </c>
      <c r="F142" t="s">
        <v>92</v>
      </c>
      <c r="G142">
        <v>23005</v>
      </c>
      <c r="H142">
        <v>0</v>
      </c>
      <c r="J142" t="s">
        <v>302</v>
      </c>
      <c r="K142" t="s">
        <v>303</v>
      </c>
      <c r="L142" t="s">
        <v>95</v>
      </c>
      <c r="N142" t="s">
        <v>68</v>
      </c>
      <c r="O142" t="s">
        <v>304</v>
      </c>
      <c r="P142" t="s">
        <v>305</v>
      </c>
      <c r="Q142">
        <v>375518000000000</v>
      </c>
      <c r="S142">
        <v>10155</v>
      </c>
      <c r="T142">
        <v>1267</v>
      </c>
      <c r="U142">
        <v>0</v>
      </c>
      <c r="V142">
        <v>3.5241898148148147E-2</v>
      </c>
      <c r="W142">
        <v>21.97</v>
      </c>
      <c r="X142" t="s">
        <v>306</v>
      </c>
      <c r="Y142">
        <v>0</v>
      </c>
      <c r="Z142">
        <v>42650</v>
      </c>
      <c r="AA142">
        <v>40</v>
      </c>
      <c r="AB142">
        <v>22.38</v>
      </c>
      <c r="AC142" t="str">
        <f t="shared" si="4"/>
        <v>Small</v>
      </c>
      <c r="AD142" t="s">
        <v>575</v>
      </c>
      <c r="AE142" t="s">
        <v>38</v>
      </c>
      <c r="AF142" t="s">
        <v>66</v>
      </c>
      <c r="AG142" t="str">
        <f t="shared" si="5"/>
        <v>yes</v>
      </c>
      <c r="AH142" t="s">
        <v>44</v>
      </c>
      <c r="AI142" t="s">
        <v>571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 x14ac:dyDescent="0.3">
      <c r="A143" t="s">
        <v>621</v>
      </c>
      <c r="B143" t="s">
        <v>99</v>
      </c>
      <c r="C143" t="s">
        <v>342</v>
      </c>
      <c r="D143" t="s">
        <v>343</v>
      </c>
      <c r="F143" t="s">
        <v>64</v>
      </c>
      <c r="G143">
        <v>93600</v>
      </c>
      <c r="H143">
        <v>0</v>
      </c>
      <c r="J143" t="s">
        <v>344</v>
      </c>
      <c r="K143" t="s">
        <v>345</v>
      </c>
      <c r="L143" t="s">
        <v>95</v>
      </c>
      <c r="N143" t="s">
        <v>121</v>
      </c>
      <c r="O143" t="s">
        <v>72</v>
      </c>
      <c r="P143" t="s">
        <v>346</v>
      </c>
      <c r="Q143">
        <v>343374000000000</v>
      </c>
      <c r="S143">
        <v>10187</v>
      </c>
      <c r="T143">
        <v>1385</v>
      </c>
      <c r="U143">
        <v>0</v>
      </c>
      <c r="V143">
        <v>3.5241898148148147E-2</v>
      </c>
      <c r="W143">
        <v>7.12</v>
      </c>
      <c r="X143" t="s">
        <v>306</v>
      </c>
      <c r="Y143">
        <v>0</v>
      </c>
      <c r="Z143">
        <v>42650</v>
      </c>
      <c r="AA143">
        <v>75</v>
      </c>
      <c r="AB143">
        <v>150.79</v>
      </c>
      <c r="AC143" t="str">
        <f t="shared" si="4"/>
        <v>Medium</v>
      </c>
      <c r="AD143" t="s">
        <v>577</v>
      </c>
      <c r="AE143" t="s">
        <v>43</v>
      </c>
      <c r="AF143" t="s">
        <v>39</v>
      </c>
      <c r="AG143" t="str">
        <f t="shared" si="5"/>
        <v>no</v>
      </c>
      <c r="AH143" t="s">
        <v>40</v>
      </c>
      <c r="AI143" t="s">
        <v>573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0</v>
      </c>
      <c r="BK143">
        <v>0</v>
      </c>
      <c r="BL143">
        <v>0</v>
      </c>
    </row>
    <row r="144" spans="1:64" x14ac:dyDescent="0.3">
      <c r="A144" t="s">
        <v>628</v>
      </c>
      <c r="B144" t="s">
        <v>28</v>
      </c>
      <c r="C144" t="s">
        <v>383</v>
      </c>
      <c r="D144" t="s">
        <v>384</v>
      </c>
      <c r="E144" t="s">
        <v>179</v>
      </c>
      <c r="F144" t="s">
        <v>92</v>
      </c>
      <c r="G144">
        <v>93307</v>
      </c>
      <c r="H144">
        <v>0</v>
      </c>
      <c r="J144" t="s">
        <v>385</v>
      </c>
      <c r="K144" t="s">
        <v>386</v>
      </c>
      <c r="L144" t="s">
        <v>141</v>
      </c>
      <c r="N144" t="s">
        <v>53</v>
      </c>
      <c r="O144" t="s">
        <v>179</v>
      </c>
      <c r="P144">
        <v>321140626</v>
      </c>
      <c r="Q144">
        <v>36743800000000</v>
      </c>
      <c r="S144">
        <v>10223</v>
      </c>
      <c r="T144">
        <v>6558</v>
      </c>
      <c r="U144">
        <v>0</v>
      </c>
      <c r="V144">
        <v>4.0797453703703704E-2</v>
      </c>
      <c r="W144">
        <v>48.52</v>
      </c>
      <c r="X144" t="s">
        <v>388</v>
      </c>
      <c r="Y144">
        <v>0</v>
      </c>
      <c r="Z144">
        <v>42650</v>
      </c>
      <c r="AA144" t="s">
        <v>387</v>
      </c>
      <c r="AB144">
        <v>106.06</v>
      </c>
      <c r="AC144" t="str">
        <f t="shared" si="4"/>
        <v>Medium</v>
      </c>
      <c r="AD144" t="s">
        <v>575</v>
      </c>
      <c r="AE144" t="s">
        <v>38</v>
      </c>
      <c r="AF144" t="s">
        <v>57</v>
      </c>
      <c r="AG144" t="str">
        <f t="shared" si="5"/>
        <v>yes</v>
      </c>
      <c r="AH144" t="s">
        <v>40</v>
      </c>
      <c r="AI144" t="s">
        <v>572</v>
      </c>
      <c r="AJ144">
        <v>1</v>
      </c>
      <c r="AK144">
        <v>0</v>
      </c>
      <c r="AL144">
        <v>1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 x14ac:dyDescent="0.3">
      <c r="A145" t="s">
        <v>631</v>
      </c>
      <c r="B145" t="s">
        <v>99</v>
      </c>
      <c r="C145" t="s">
        <v>399</v>
      </c>
      <c r="D145" t="s">
        <v>395</v>
      </c>
      <c r="E145" t="s">
        <v>171</v>
      </c>
      <c r="F145" t="s">
        <v>92</v>
      </c>
      <c r="G145">
        <v>21201</v>
      </c>
      <c r="H145">
        <v>0</v>
      </c>
      <c r="J145" t="s">
        <v>400</v>
      </c>
      <c r="K145" t="s">
        <v>401</v>
      </c>
      <c r="L145" t="s">
        <v>141</v>
      </c>
      <c r="N145" t="s">
        <v>135</v>
      </c>
      <c r="O145" t="s">
        <v>72</v>
      </c>
      <c r="P145" t="s">
        <v>402</v>
      </c>
      <c r="Q145">
        <v>36432000000000</v>
      </c>
      <c r="S145">
        <v>10235</v>
      </c>
      <c r="T145">
        <v>4669</v>
      </c>
      <c r="U145">
        <v>0</v>
      </c>
      <c r="V145">
        <v>3.5241898148148147E-2</v>
      </c>
      <c r="W145">
        <v>18.45</v>
      </c>
      <c r="X145" t="s">
        <v>306</v>
      </c>
      <c r="Y145">
        <v>0</v>
      </c>
      <c r="Z145">
        <v>42650</v>
      </c>
      <c r="AA145" t="s">
        <v>56</v>
      </c>
      <c r="AB145">
        <v>48.23</v>
      </c>
      <c r="AC145" t="str">
        <f t="shared" si="4"/>
        <v>Small</v>
      </c>
      <c r="AD145" t="s">
        <v>575</v>
      </c>
      <c r="AE145" t="s">
        <v>43</v>
      </c>
      <c r="AF145" t="s">
        <v>66</v>
      </c>
      <c r="AG145" t="str">
        <f t="shared" si="5"/>
        <v>yes</v>
      </c>
      <c r="AH145" t="s">
        <v>44</v>
      </c>
      <c r="AI145" t="s">
        <v>572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 x14ac:dyDescent="0.3">
      <c r="A146" t="s">
        <v>641</v>
      </c>
      <c r="B146" t="s">
        <v>28</v>
      </c>
      <c r="C146" t="s">
        <v>450</v>
      </c>
      <c r="D146" t="s">
        <v>445</v>
      </c>
      <c r="E146" t="s">
        <v>171</v>
      </c>
      <c r="F146" t="s">
        <v>92</v>
      </c>
      <c r="G146">
        <v>20705</v>
      </c>
      <c r="H146">
        <v>0</v>
      </c>
      <c r="J146" t="s">
        <v>451</v>
      </c>
      <c r="K146" t="s">
        <v>452</v>
      </c>
      <c r="L146" t="s">
        <v>537</v>
      </c>
      <c r="N146" t="s">
        <v>448</v>
      </c>
      <c r="O146" t="s">
        <v>36</v>
      </c>
      <c r="P146">
        <v>577430003</v>
      </c>
      <c r="Q146">
        <v>3528220000000000</v>
      </c>
      <c r="S146">
        <v>10287</v>
      </c>
      <c r="T146">
        <v>7392</v>
      </c>
      <c r="U146">
        <v>0</v>
      </c>
      <c r="V146">
        <v>1.9206018518518518E-2</v>
      </c>
      <c r="W146">
        <v>11.45</v>
      </c>
      <c r="X146" t="s">
        <v>438</v>
      </c>
      <c r="Y146">
        <v>0</v>
      </c>
      <c r="Z146">
        <v>42650</v>
      </c>
      <c r="AA146">
        <v>72</v>
      </c>
      <c r="AB146">
        <v>126.46</v>
      </c>
      <c r="AC146" t="str">
        <f t="shared" si="4"/>
        <v>Medium</v>
      </c>
      <c r="AD146" t="s">
        <v>577</v>
      </c>
      <c r="AE146" t="s">
        <v>43</v>
      </c>
      <c r="AF146" t="s">
        <v>57</v>
      </c>
      <c r="AG146" t="str">
        <f t="shared" si="5"/>
        <v>no</v>
      </c>
      <c r="AH146" t="s">
        <v>40</v>
      </c>
      <c r="AI146" t="s">
        <v>573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1</v>
      </c>
      <c r="AR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 x14ac:dyDescent="0.3">
      <c r="A147" t="s">
        <v>649</v>
      </c>
      <c r="B147" t="s">
        <v>99</v>
      </c>
      <c r="C147" t="s">
        <v>534</v>
      </c>
      <c r="D147" t="s">
        <v>487</v>
      </c>
      <c r="F147" t="s">
        <v>64</v>
      </c>
      <c r="G147">
        <v>64200</v>
      </c>
      <c r="H147">
        <v>0</v>
      </c>
      <c r="J147" t="s">
        <v>488</v>
      </c>
      <c r="K147" t="s">
        <v>489</v>
      </c>
      <c r="L147" t="s">
        <v>34</v>
      </c>
      <c r="N147" t="s">
        <v>490</v>
      </c>
      <c r="O147" t="s">
        <v>64</v>
      </c>
      <c r="P147">
        <v>702000000000000</v>
      </c>
      <c r="Q147">
        <v>5104510000000000</v>
      </c>
      <c r="S147">
        <v>10319</v>
      </c>
      <c r="T147">
        <v>6931</v>
      </c>
      <c r="U147">
        <v>0</v>
      </c>
      <c r="V147">
        <v>4.0797453703703704E-2</v>
      </c>
      <c r="W147">
        <v>11.05</v>
      </c>
      <c r="X147" t="s">
        <v>388</v>
      </c>
      <c r="Y147">
        <v>0</v>
      </c>
      <c r="Z147">
        <v>42650</v>
      </c>
      <c r="AA147">
        <v>26</v>
      </c>
      <c r="AB147">
        <v>213.19</v>
      </c>
      <c r="AC147" t="str">
        <f t="shared" si="4"/>
        <v>Medium</v>
      </c>
      <c r="AD147" t="s">
        <v>575</v>
      </c>
      <c r="AE147" t="s">
        <v>38</v>
      </c>
      <c r="AF147" t="s">
        <v>66</v>
      </c>
      <c r="AG147" t="str">
        <f t="shared" si="5"/>
        <v>yes</v>
      </c>
      <c r="AH147" t="s">
        <v>58</v>
      </c>
      <c r="AI147" t="s">
        <v>571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1</v>
      </c>
      <c r="BL147">
        <v>1</v>
      </c>
    </row>
    <row r="148" spans="1:64" x14ac:dyDescent="0.3">
      <c r="A148" t="s">
        <v>610</v>
      </c>
      <c r="B148" t="s">
        <v>99</v>
      </c>
      <c r="C148" t="s">
        <v>281</v>
      </c>
      <c r="D148" t="s">
        <v>275</v>
      </c>
      <c r="E148" t="s">
        <v>282</v>
      </c>
      <c r="F148" t="s">
        <v>92</v>
      </c>
      <c r="G148">
        <v>68002</v>
      </c>
      <c r="H148">
        <v>0</v>
      </c>
      <c r="J148" t="s">
        <v>283</v>
      </c>
      <c r="K148" t="s">
        <v>284</v>
      </c>
      <c r="L148" t="s">
        <v>52</v>
      </c>
      <c r="N148" t="s">
        <v>285</v>
      </c>
      <c r="O148" t="s">
        <v>36</v>
      </c>
      <c r="P148">
        <v>492230001</v>
      </c>
      <c r="Q148">
        <v>4426700000000000</v>
      </c>
      <c r="S148">
        <v>10139</v>
      </c>
      <c r="T148">
        <v>8786</v>
      </c>
      <c r="U148">
        <v>0</v>
      </c>
      <c r="V148">
        <v>5.1446759259259258E-3</v>
      </c>
      <c r="W148">
        <v>7.85</v>
      </c>
      <c r="X148" t="s">
        <v>286</v>
      </c>
      <c r="Y148">
        <v>0</v>
      </c>
      <c r="Z148">
        <v>42651</v>
      </c>
      <c r="AA148">
        <v>53</v>
      </c>
      <c r="AB148">
        <v>42.85</v>
      </c>
      <c r="AC148" t="str">
        <f t="shared" si="4"/>
        <v>Small</v>
      </c>
      <c r="AD148" t="s">
        <v>578</v>
      </c>
      <c r="AE148" t="s">
        <v>38</v>
      </c>
      <c r="AF148" t="s">
        <v>66</v>
      </c>
      <c r="AG148" t="str">
        <f t="shared" si="5"/>
        <v>no</v>
      </c>
      <c r="AH148" t="s">
        <v>44</v>
      </c>
      <c r="AI148" t="s">
        <v>573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1</v>
      </c>
      <c r="AW148">
        <v>1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 x14ac:dyDescent="0.3">
      <c r="A149" t="s">
        <v>613</v>
      </c>
      <c r="B149" t="s">
        <v>28</v>
      </c>
      <c r="C149" t="s">
        <v>299</v>
      </c>
      <c r="D149" t="s">
        <v>300</v>
      </c>
      <c r="E149" t="s">
        <v>301</v>
      </c>
      <c r="F149" t="s">
        <v>92</v>
      </c>
      <c r="G149">
        <v>23005</v>
      </c>
      <c r="H149">
        <v>0</v>
      </c>
      <c r="J149" t="s">
        <v>302</v>
      </c>
      <c r="K149" t="s">
        <v>303</v>
      </c>
      <c r="L149" t="s">
        <v>95</v>
      </c>
      <c r="N149" t="s">
        <v>68</v>
      </c>
      <c r="O149" t="s">
        <v>304</v>
      </c>
      <c r="P149" t="s">
        <v>305</v>
      </c>
      <c r="Q149">
        <v>343184000000000</v>
      </c>
      <c r="S149">
        <v>10155</v>
      </c>
      <c r="T149">
        <v>2983</v>
      </c>
      <c r="U149">
        <v>0</v>
      </c>
      <c r="V149">
        <v>1.9386574074074073E-2</v>
      </c>
      <c r="W149">
        <v>28.55</v>
      </c>
      <c r="X149" t="s">
        <v>183</v>
      </c>
      <c r="Y149">
        <v>0</v>
      </c>
      <c r="Z149">
        <v>42651</v>
      </c>
      <c r="AA149">
        <v>40</v>
      </c>
      <c r="AB149">
        <v>17.02</v>
      </c>
      <c r="AC149" t="str">
        <f t="shared" si="4"/>
        <v>Small</v>
      </c>
      <c r="AD149" t="s">
        <v>575</v>
      </c>
      <c r="AE149" t="s">
        <v>38</v>
      </c>
      <c r="AF149" t="s">
        <v>66</v>
      </c>
      <c r="AG149" t="str">
        <f t="shared" si="5"/>
        <v>yes</v>
      </c>
      <c r="AH149" t="s">
        <v>44</v>
      </c>
      <c r="AI149" t="s">
        <v>571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 x14ac:dyDescent="0.3">
      <c r="A150" t="s">
        <v>623</v>
      </c>
      <c r="B150" t="s">
        <v>99</v>
      </c>
      <c r="C150" t="s">
        <v>354</v>
      </c>
      <c r="D150" t="s">
        <v>355</v>
      </c>
      <c r="E150" t="s">
        <v>102</v>
      </c>
      <c r="F150" t="s">
        <v>31</v>
      </c>
      <c r="G150">
        <v>38063</v>
      </c>
      <c r="H150">
        <v>0</v>
      </c>
      <c r="J150" t="s">
        <v>356</v>
      </c>
      <c r="K150" t="s">
        <v>357</v>
      </c>
      <c r="L150" t="s">
        <v>95</v>
      </c>
      <c r="N150" t="s">
        <v>69</v>
      </c>
      <c r="O150" t="s">
        <v>64</v>
      </c>
      <c r="P150">
        <v>253000000000000</v>
      </c>
      <c r="Q150">
        <v>344866000000000</v>
      </c>
      <c r="S150">
        <v>10203</v>
      </c>
      <c r="T150">
        <v>1078</v>
      </c>
      <c r="U150">
        <v>0</v>
      </c>
      <c r="V150">
        <v>1.9386574074074073E-2</v>
      </c>
      <c r="W150">
        <v>16.25</v>
      </c>
      <c r="X150" t="s">
        <v>183</v>
      </c>
      <c r="Y150">
        <v>0</v>
      </c>
      <c r="Z150">
        <v>42651</v>
      </c>
      <c r="AA150">
        <v>38</v>
      </c>
      <c r="AB150">
        <v>39.619999999999997</v>
      </c>
      <c r="AC150" t="str">
        <f t="shared" si="4"/>
        <v>Small</v>
      </c>
      <c r="AD150" t="s">
        <v>575</v>
      </c>
      <c r="AE150" t="s">
        <v>38</v>
      </c>
      <c r="AF150" t="s">
        <v>66</v>
      </c>
      <c r="AG150" t="str">
        <f t="shared" si="5"/>
        <v>yes</v>
      </c>
      <c r="AH150" t="s">
        <v>44</v>
      </c>
      <c r="AI150" t="s">
        <v>571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 x14ac:dyDescent="0.3">
      <c r="A151" t="s">
        <v>634</v>
      </c>
      <c r="B151" t="s">
        <v>28</v>
      </c>
      <c r="C151" t="s">
        <v>413</v>
      </c>
      <c r="D151" t="s">
        <v>414</v>
      </c>
      <c r="F151" t="s">
        <v>49</v>
      </c>
      <c r="G151">
        <v>22885</v>
      </c>
      <c r="H151">
        <v>0</v>
      </c>
      <c r="J151" t="s">
        <v>415</v>
      </c>
      <c r="K151" t="s">
        <v>416</v>
      </c>
      <c r="L151" t="s">
        <v>75</v>
      </c>
      <c r="N151" t="s">
        <v>130</v>
      </c>
      <c r="O151" t="s">
        <v>36</v>
      </c>
      <c r="P151">
        <v>441590001</v>
      </c>
      <c r="Q151">
        <v>6011000000000000</v>
      </c>
      <c r="S151">
        <v>10247</v>
      </c>
      <c r="T151">
        <v>1401</v>
      </c>
      <c r="U151">
        <v>0</v>
      </c>
      <c r="V151">
        <v>1.9386574074074073E-2</v>
      </c>
      <c r="W151">
        <v>8.15</v>
      </c>
      <c r="X151" t="s">
        <v>183</v>
      </c>
      <c r="Y151">
        <v>0</v>
      </c>
      <c r="Z151">
        <v>42651</v>
      </c>
      <c r="AA151">
        <v>40</v>
      </c>
      <c r="AB151">
        <v>100.5</v>
      </c>
      <c r="AC151" t="str">
        <f t="shared" si="4"/>
        <v>Medium</v>
      </c>
      <c r="AD151" t="s">
        <v>576</v>
      </c>
      <c r="AE151" t="s">
        <v>38</v>
      </c>
      <c r="AF151" t="s">
        <v>66</v>
      </c>
      <c r="AG151" t="str">
        <f t="shared" si="5"/>
        <v>no</v>
      </c>
      <c r="AH151" t="s">
        <v>44</v>
      </c>
      <c r="AI151" t="s">
        <v>571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 x14ac:dyDescent="0.3">
      <c r="A152" t="s">
        <v>590</v>
      </c>
      <c r="B152" t="s">
        <v>28</v>
      </c>
      <c r="C152" t="s">
        <v>124</v>
      </c>
      <c r="D152" t="s">
        <v>125</v>
      </c>
      <c r="E152" t="s">
        <v>126</v>
      </c>
      <c r="F152" t="s">
        <v>92</v>
      </c>
      <c r="G152">
        <v>87109</v>
      </c>
      <c r="H152">
        <v>0</v>
      </c>
      <c r="J152" t="s">
        <v>127</v>
      </c>
      <c r="K152" t="s">
        <v>128</v>
      </c>
      <c r="L152" t="s">
        <v>95</v>
      </c>
      <c r="N152" t="s">
        <v>129</v>
      </c>
      <c r="O152" t="s">
        <v>64</v>
      </c>
      <c r="P152">
        <v>176000000000000</v>
      </c>
      <c r="Q152">
        <v>340583000000000</v>
      </c>
      <c r="S152">
        <v>10051</v>
      </c>
      <c r="T152">
        <v>1352</v>
      </c>
      <c r="U152">
        <v>0</v>
      </c>
      <c r="V152">
        <v>1.9393518518518518E-2</v>
      </c>
      <c r="W152">
        <v>13.33</v>
      </c>
      <c r="X152" t="s">
        <v>130</v>
      </c>
      <c r="Y152">
        <v>0</v>
      </c>
      <c r="Z152">
        <v>42652</v>
      </c>
      <c r="AA152">
        <v>47</v>
      </c>
      <c r="AB152">
        <v>18.989999999999998</v>
      </c>
      <c r="AC152" t="str">
        <f t="shared" si="4"/>
        <v>Small</v>
      </c>
      <c r="AD152" t="s">
        <v>575</v>
      </c>
      <c r="AE152" t="s">
        <v>38</v>
      </c>
      <c r="AF152" t="s">
        <v>66</v>
      </c>
      <c r="AG152" t="str">
        <f t="shared" si="5"/>
        <v>yes</v>
      </c>
      <c r="AH152" t="s">
        <v>44</v>
      </c>
      <c r="AI152" t="s">
        <v>574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0</v>
      </c>
      <c r="AV152">
        <v>1</v>
      </c>
      <c r="AW152">
        <v>1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 x14ac:dyDescent="0.3">
      <c r="A153" t="s">
        <v>594</v>
      </c>
      <c r="B153" t="s">
        <v>99</v>
      </c>
      <c r="C153" t="s">
        <v>163</v>
      </c>
      <c r="D153" t="s">
        <v>164</v>
      </c>
      <c r="F153" t="s">
        <v>72</v>
      </c>
      <c r="G153">
        <v>7210</v>
      </c>
      <c r="H153">
        <v>0</v>
      </c>
      <c r="J153" t="s">
        <v>165</v>
      </c>
      <c r="K153" t="s">
        <v>166</v>
      </c>
      <c r="L153" t="s">
        <v>52</v>
      </c>
      <c r="N153" t="s">
        <v>167</v>
      </c>
      <c r="O153" t="s">
        <v>36</v>
      </c>
      <c r="P153">
        <v>515250001</v>
      </c>
      <c r="Q153">
        <v>4594160000000000</v>
      </c>
      <c r="S153">
        <v>10067</v>
      </c>
      <c r="T153">
        <v>1042</v>
      </c>
      <c r="U153">
        <v>0</v>
      </c>
      <c r="V153">
        <v>3.9995370370370369E-2</v>
      </c>
      <c r="W153">
        <v>27.99</v>
      </c>
      <c r="X153" t="s">
        <v>168</v>
      </c>
      <c r="Y153">
        <v>0</v>
      </c>
      <c r="Z153">
        <v>42652</v>
      </c>
      <c r="AA153">
        <v>28</v>
      </c>
      <c r="AB153">
        <v>57.87</v>
      </c>
      <c r="AC153" t="str">
        <f t="shared" si="4"/>
        <v>Small</v>
      </c>
      <c r="AD153" t="s">
        <v>577</v>
      </c>
      <c r="AE153" t="s">
        <v>38</v>
      </c>
      <c r="AF153" t="s">
        <v>39</v>
      </c>
      <c r="AG153" t="str">
        <f t="shared" si="5"/>
        <v>no</v>
      </c>
      <c r="AH153" t="s">
        <v>40</v>
      </c>
      <c r="AI153" t="s">
        <v>571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0</v>
      </c>
      <c r="BC153">
        <v>1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0</v>
      </c>
      <c r="BL153">
        <v>0</v>
      </c>
    </row>
    <row r="154" spans="1:64" x14ac:dyDescent="0.3">
      <c r="A154" t="s">
        <v>621</v>
      </c>
      <c r="B154" t="s">
        <v>99</v>
      </c>
      <c r="C154" t="s">
        <v>342</v>
      </c>
      <c r="D154" t="s">
        <v>343</v>
      </c>
      <c r="F154" t="s">
        <v>64</v>
      </c>
      <c r="G154">
        <v>93600</v>
      </c>
      <c r="H154">
        <v>0</v>
      </c>
      <c r="J154" t="s">
        <v>344</v>
      </c>
      <c r="K154" t="s">
        <v>345</v>
      </c>
      <c r="L154" t="s">
        <v>95</v>
      </c>
      <c r="N154" t="s">
        <v>121</v>
      </c>
      <c r="O154" t="s">
        <v>72</v>
      </c>
      <c r="P154" t="s">
        <v>346</v>
      </c>
      <c r="Q154">
        <v>347290000000000</v>
      </c>
      <c r="S154">
        <v>10187</v>
      </c>
      <c r="T154">
        <v>2039</v>
      </c>
      <c r="U154">
        <v>0</v>
      </c>
      <c r="V154">
        <v>1.9393518518518518E-2</v>
      </c>
      <c r="W154">
        <v>27.97</v>
      </c>
      <c r="X154" t="s">
        <v>130</v>
      </c>
      <c r="Y154">
        <v>0</v>
      </c>
      <c r="Z154">
        <v>42652</v>
      </c>
      <c r="AA154">
        <v>75</v>
      </c>
      <c r="AB154">
        <v>219.64</v>
      </c>
      <c r="AC154" t="str">
        <f t="shared" si="4"/>
        <v>Medium</v>
      </c>
      <c r="AD154" t="s">
        <v>575</v>
      </c>
      <c r="AE154" t="s">
        <v>43</v>
      </c>
      <c r="AF154" t="s">
        <v>39</v>
      </c>
      <c r="AG154" t="str">
        <f t="shared" si="5"/>
        <v>yes</v>
      </c>
      <c r="AH154" t="s">
        <v>58</v>
      </c>
      <c r="AI154" t="s">
        <v>573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</row>
    <row r="155" spans="1:64" x14ac:dyDescent="0.3">
      <c r="A155" t="s">
        <v>631</v>
      </c>
      <c r="B155" t="s">
        <v>99</v>
      </c>
      <c r="C155" t="s">
        <v>399</v>
      </c>
      <c r="D155" t="s">
        <v>395</v>
      </c>
      <c r="E155" t="s">
        <v>171</v>
      </c>
      <c r="F155" t="s">
        <v>92</v>
      </c>
      <c r="G155">
        <v>21201</v>
      </c>
      <c r="H155">
        <v>0</v>
      </c>
      <c r="J155" t="s">
        <v>400</v>
      </c>
      <c r="K155" t="s">
        <v>401</v>
      </c>
      <c r="L155" t="s">
        <v>141</v>
      </c>
      <c r="N155" t="s">
        <v>135</v>
      </c>
      <c r="O155" t="s">
        <v>72</v>
      </c>
      <c r="P155" t="s">
        <v>402</v>
      </c>
      <c r="Q155">
        <v>36810400000000</v>
      </c>
      <c r="S155">
        <v>10235</v>
      </c>
      <c r="T155">
        <v>1511</v>
      </c>
      <c r="U155">
        <v>0</v>
      </c>
      <c r="V155">
        <v>1.9393518518518518E-2</v>
      </c>
      <c r="W155">
        <v>33.85</v>
      </c>
      <c r="X155" t="s">
        <v>130</v>
      </c>
      <c r="Y155">
        <v>0</v>
      </c>
      <c r="Z155">
        <v>42652</v>
      </c>
      <c r="AA155" t="s">
        <v>56</v>
      </c>
      <c r="AB155">
        <v>31.51</v>
      </c>
      <c r="AC155" t="str">
        <f t="shared" si="4"/>
        <v>Small</v>
      </c>
      <c r="AD155" t="s">
        <v>575</v>
      </c>
      <c r="AE155" t="s">
        <v>38</v>
      </c>
      <c r="AF155" t="s">
        <v>66</v>
      </c>
      <c r="AG155" t="str">
        <f t="shared" si="5"/>
        <v>yes</v>
      </c>
      <c r="AH155" t="s">
        <v>44</v>
      </c>
      <c r="AI155" t="s">
        <v>572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1</v>
      </c>
      <c r="AW155">
        <v>1</v>
      </c>
      <c r="AX155">
        <v>0</v>
      </c>
      <c r="AY155">
        <v>0</v>
      </c>
      <c r="AZ155">
        <v>1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 x14ac:dyDescent="0.3">
      <c r="A156" t="s">
        <v>608</v>
      </c>
      <c r="B156" t="s">
        <v>264</v>
      </c>
      <c r="C156" t="s">
        <v>265</v>
      </c>
      <c r="D156" t="s">
        <v>266</v>
      </c>
      <c r="E156" t="s">
        <v>267</v>
      </c>
      <c r="F156" t="s">
        <v>218</v>
      </c>
      <c r="G156">
        <v>2284</v>
      </c>
      <c r="H156">
        <v>0</v>
      </c>
      <c r="J156" t="s">
        <v>268</v>
      </c>
      <c r="K156" t="s">
        <v>269</v>
      </c>
      <c r="L156" t="s">
        <v>141</v>
      </c>
      <c r="N156" t="s">
        <v>270</v>
      </c>
      <c r="O156" t="s">
        <v>31</v>
      </c>
      <c r="P156" t="s">
        <v>271</v>
      </c>
      <c r="Q156">
        <v>36851500000000</v>
      </c>
      <c r="S156">
        <v>10131</v>
      </c>
      <c r="T156">
        <v>5009</v>
      </c>
      <c r="U156">
        <v>0</v>
      </c>
      <c r="V156">
        <v>3.0493055555555551E-2</v>
      </c>
      <c r="W156">
        <v>8.23</v>
      </c>
      <c r="X156" t="s">
        <v>272</v>
      </c>
      <c r="Y156">
        <v>0</v>
      </c>
      <c r="Z156">
        <v>42665</v>
      </c>
      <c r="AA156">
        <v>78</v>
      </c>
      <c r="AB156">
        <v>145.28</v>
      </c>
      <c r="AC156" t="str">
        <f t="shared" si="4"/>
        <v>Medium</v>
      </c>
      <c r="AD156" t="s">
        <v>576</v>
      </c>
      <c r="AE156" t="s">
        <v>43</v>
      </c>
      <c r="AF156" t="s">
        <v>39</v>
      </c>
      <c r="AG156" t="str">
        <f t="shared" si="5"/>
        <v>no</v>
      </c>
      <c r="AH156" t="s">
        <v>40</v>
      </c>
      <c r="AI156" t="s">
        <v>573</v>
      </c>
      <c r="AJ156">
        <v>0</v>
      </c>
      <c r="AK156">
        <v>1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 x14ac:dyDescent="0.3">
      <c r="A157" t="s">
        <v>657</v>
      </c>
      <c r="B157" t="s">
        <v>99</v>
      </c>
      <c r="C157" t="s">
        <v>529</v>
      </c>
      <c r="D157" t="s">
        <v>530</v>
      </c>
      <c r="E157" t="s">
        <v>441</v>
      </c>
      <c r="F157" t="s">
        <v>92</v>
      </c>
      <c r="G157">
        <v>61701</v>
      </c>
      <c r="H157">
        <v>0</v>
      </c>
      <c r="J157" t="s">
        <v>531</v>
      </c>
      <c r="K157" t="s">
        <v>532</v>
      </c>
      <c r="L157" t="s">
        <v>537</v>
      </c>
      <c r="N157" t="s">
        <v>448</v>
      </c>
      <c r="O157" t="s">
        <v>64</v>
      </c>
      <c r="P157">
        <v>169000000000000</v>
      </c>
      <c r="Q157">
        <v>3528370000000000</v>
      </c>
      <c r="S157">
        <v>10351</v>
      </c>
      <c r="T157">
        <v>591</v>
      </c>
      <c r="U157">
        <v>0</v>
      </c>
      <c r="V157">
        <v>3.0493055555555551E-2</v>
      </c>
      <c r="W157">
        <v>10.45</v>
      </c>
      <c r="X157" t="s">
        <v>272</v>
      </c>
      <c r="Y157">
        <v>0</v>
      </c>
      <c r="Z157">
        <v>42665</v>
      </c>
      <c r="AA157">
        <v>24</v>
      </c>
      <c r="AB157">
        <v>165.72</v>
      </c>
      <c r="AC157" t="str">
        <f t="shared" si="4"/>
        <v>Medium</v>
      </c>
      <c r="AD157" t="s">
        <v>575</v>
      </c>
      <c r="AE157" t="s">
        <v>38</v>
      </c>
      <c r="AF157" t="s">
        <v>39</v>
      </c>
      <c r="AG157" t="str">
        <f t="shared" si="5"/>
        <v>yes</v>
      </c>
      <c r="AH157" t="s">
        <v>58</v>
      </c>
      <c r="AI157" t="s">
        <v>571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</row>
    <row r="158" spans="1:64" x14ac:dyDescent="0.3">
      <c r="A158" t="s">
        <v>591</v>
      </c>
      <c r="B158" t="s">
        <v>99</v>
      </c>
      <c r="C158" t="s">
        <v>137</v>
      </c>
      <c r="D158" t="s">
        <v>138</v>
      </c>
      <c r="F158" t="s">
        <v>72</v>
      </c>
      <c r="G158">
        <v>3728</v>
      </c>
      <c r="H158">
        <v>0</v>
      </c>
      <c r="J158" t="s">
        <v>139</v>
      </c>
      <c r="K158" t="s">
        <v>140</v>
      </c>
      <c r="L158" t="s">
        <v>141</v>
      </c>
      <c r="N158" t="s">
        <v>142</v>
      </c>
      <c r="O158" t="s">
        <v>31</v>
      </c>
      <c r="P158" t="s">
        <v>143</v>
      </c>
      <c r="Q158">
        <v>36295300000000</v>
      </c>
      <c r="S158">
        <v>10055</v>
      </c>
      <c r="T158">
        <v>4950</v>
      </c>
      <c r="U158">
        <v>0</v>
      </c>
      <c r="V158">
        <v>3.0493055555555551E-2</v>
      </c>
      <c r="W158">
        <v>18.45</v>
      </c>
      <c r="X158" t="s">
        <v>145</v>
      </c>
      <c r="Y158">
        <v>0</v>
      </c>
      <c r="Z158">
        <v>42670</v>
      </c>
      <c r="AA158">
        <v>24</v>
      </c>
      <c r="AB158">
        <v>129.77000000000001</v>
      </c>
      <c r="AC158" t="str">
        <f t="shared" si="4"/>
        <v>Medium</v>
      </c>
      <c r="AD158" t="s">
        <v>575</v>
      </c>
      <c r="AE158" t="s">
        <v>38</v>
      </c>
      <c r="AF158" t="s">
        <v>57</v>
      </c>
      <c r="AG158" t="str">
        <f t="shared" si="5"/>
        <v>yes</v>
      </c>
      <c r="AH158" t="s">
        <v>40</v>
      </c>
      <c r="AI158" t="s">
        <v>571</v>
      </c>
      <c r="AJ158">
        <v>1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0</v>
      </c>
    </row>
    <row r="159" spans="1:64" x14ac:dyDescent="0.3">
      <c r="A159" t="s">
        <v>601</v>
      </c>
      <c r="B159" t="s">
        <v>99</v>
      </c>
      <c r="C159" t="s">
        <v>215</v>
      </c>
      <c r="D159" t="s">
        <v>216</v>
      </c>
      <c r="E159" t="s">
        <v>217</v>
      </c>
      <c r="F159" t="s">
        <v>218</v>
      </c>
      <c r="G159">
        <v>5255</v>
      </c>
      <c r="H159">
        <v>0</v>
      </c>
      <c r="J159" t="s">
        <v>219</v>
      </c>
      <c r="K159" t="s">
        <v>220</v>
      </c>
      <c r="L159" t="s">
        <v>95</v>
      </c>
      <c r="N159" t="s">
        <v>221</v>
      </c>
      <c r="O159" t="s">
        <v>31</v>
      </c>
      <c r="P159" t="s">
        <v>222</v>
      </c>
      <c r="Q159">
        <v>377663000000000</v>
      </c>
      <c r="S159">
        <v>10103</v>
      </c>
      <c r="T159">
        <v>2118</v>
      </c>
      <c r="U159">
        <v>0</v>
      </c>
      <c r="V159">
        <v>3.0493055555555551E-2</v>
      </c>
      <c r="W159">
        <v>1.49</v>
      </c>
      <c r="X159" t="s">
        <v>145</v>
      </c>
      <c r="Y159">
        <v>0</v>
      </c>
      <c r="Z159">
        <v>42670</v>
      </c>
      <c r="AA159">
        <v>51</v>
      </c>
      <c r="AB159">
        <v>34.950000000000003</v>
      </c>
      <c r="AC159" t="str">
        <f t="shared" si="4"/>
        <v>Small</v>
      </c>
      <c r="AD159" t="s">
        <v>575</v>
      </c>
      <c r="AE159" t="s">
        <v>38</v>
      </c>
      <c r="AF159" t="s">
        <v>66</v>
      </c>
      <c r="AG159" t="str">
        <f t="shared" si="5"/>
        <v>yes</v>
      </c>
      <c r="AH159" t="s">
        <v>44</v>
      </c>
      <c r="AI159" t="s">
        <v>574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 x14ac:dyDescent="0.3">
      <c r="A160" t="s">
        <v>585</v>
      </c>
      <c r="B160" t="s">
        <v>28</v>
      </c>
      <c r="C160" t="s">
        <v>81</v>
      </c>
      <c r="D160" t="s">
        <v>82</v>
      </c>
      <c r="F160" t="s">
        <v>72</v>
      </c>
      <c r="G160">
        <v>3569</v>
      </c>
      <c r="H160">
        <v>0</v>
      </c>
      <c r="J160" t="s">
        <v>83</v>
      </c>
      <c r="K160" t="s">
        <v>84</v>
      </c>
      <c r="L160" t="s">
        <v>52</v>
      </c>
      <c r="N160" t="s">
        <v>45</v>
      </c>
      <c r="O160" t="s">
        <v>31</v>
      </c>
      <c r="P160" t="s">
        <v>85</v>
      </c>
      <c r="Q160">
        <v>4644860000000000</v>
      </c>
      <c r="S160">
        <v>10027</v>
      </c>
      <c r="T160">
        <v>8622</v>
      </c>
      <c r="U160">
        <v>0</v>
      </c>
      <c r="V160">
        <v>5.3171296296296291E-3</v>
      </c>
      <c r="W160">
        <v>9.51</v>
      </c>
      <c r="X160" t="s">
        <v>89</v>
      </c>
      <c r="Y160">
        <v>0</v>
      </c>
      <c r="Z160">
        <v>42688</v>
      </c>
      <c r="AA160">
        <v>32</v>
      </c>
      <c r="AB160">
        <v>5.0999999999999996</v>
      </c>
      <c r="AC160" t="str">
        <f t="shared" si="4"/>
        <v>Small</v>
      </c>
      <c r="AD160" t="s">
        <v>578</v>
      </c>
      <c r="AE160" t="s">
        <v>38</v>
      </c>
      <c r="AF160" t="s">
        <v>66</v>
      </c>
      <c r="AG160" t="str">
        <f t="shared" si="5"/>
        <v>no</v>
      </c>
      <c r="AH160" t="s">
        <v>44</v>
      </c>
      <c r="AI160" t="s">
        <v>571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 x14ac:dyDescent="0.3">
      <c r="A161" t="s">
        <v>615</v>
      </c>
      <c r="B161" t="s">
        <v>99</v>
      </c>
      <c r="C161" t="s">
        <v>307</v>
      </c>
      <c r="D161" t="s">
        <v>308</v>
      </c>
      <c r="E161" t="s">
        <v>267</v>
      </c>
      <c r="F161" t="s">
        <v>218</v>
      </c>
      <c r="G161">
        <v>2077</v>
      </c>
      <c r="H161">
        <v>0</v>
      </c>
      <c r="J161" t="s">
        <v>309</v>
      </c>
      <c r="K161" t="s">
        <v>310</v>
      </c>
      <c r="L161" t="s">
        <v>95</v>
      </c>
      <c r="N161" t="s">
        <v>270</v>
      </c>
      <c r="O161" t="s">
        <v>72</v>
      </c>
      <c r="P161" t="s">
        <v>311</v>
      </c>
      <c r="Q161">
        <v>346804000000000</v>
      </c>
      <c r="S161">
        <v>10159</v>
      </c>
      <c r="T161">
        <v>4170</v>
      </c>
      <c r="U161">
        <v>0</v>
      </c>
      <c r="V161">
        <v>5.3171296296296291E-3</v>
      </c>
      <c r="W161">
        <v>16.850000000000001</v>
      </c>
      <c r="X161" t="s">
        <v>89</v>
      </c>
      <c r="Y161">
        <v>0</v>
      </c>
      <c r="Z161">
        <v>42688</v>
      </c>
      <c r="AA161">
        <v>53</v>
      </c>
      <c r="AB161">
        <v>8.4600000000000009</v>
      </c>
      <c r="AC161" t="str">
        <f t="shared" si="4"/>
        <v>Small</v>
      </c>
      <c r="AD161" t="s">
        <v>577</v>
      </c>
      <c r="AE161" t="s">
        <v>38</v>
      </c>
      <c r="AF161" t="s">
        <v>66</v>
      </c>
      <c r="AG161" t="str">
        <f t="shared" si="5"/>
        <v>no</v>
      </c>
      <c r="AH161" t="s">
        <v>44</v>
      </c>
      <c r="AI161" t="s">
        <v>573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 x14ac:dyDescent="0.3">
      <c r="A162" t="s">
        <v>611</v>
      </c>
      <c r="B162" t="s">
        <v>28</v>
      </c>
      <c r="C162" t="s">
        <v>287</v>
      </c>
      <c r="D162" t="s">
        <v>288</v>
      </c>
      <c r="F162" t="s">
        <v>49</v>
      </c>
      <c r="G162">
        <v>6431</v>
      </c>
      <c r="H162">
        <v>0</v>
      </c>
      <c r="J162" t="s">
        <v>289</v>
      </c>
      <c r="K162" t="s">
        <v>290</v>
      </c>
      <c r="L162" t="s">
        <v>537</v>
      </c>
      <c r="N162" t="s">
        <v>159</v>
      </c>
      <c r="O162" t="s">
        <v>31</v>
      </c>
      <c r="P162" t="s">
        <v>291</v>
      </c>
      <c r="Q162">
        <v>3529000000000000</v>
      </c>
      <c r="S162">
        <v>10147</v>
      </c>
      <c r="T162">
        <v>5244</v>
      </c>
      <c r="U162">
        <v>0</v>
      </c>
      <c r="V162">
        <v>2.3221064814814812E-2</v>
      </c>
      <c r="W162">
        <v>17.600000000000001</v>
      </c>
      <c r="X162" t="s">
        <v>293</v>
      </c>
      <c r="Y162">
        <v>0</v>
      </c>
      <c r="Z162">
        <v>42694</v>
      </c>
      <c r="AA162" t="s">
        <v>292</v>
      </c>
      <c r="AB162">
        <v>93.67</v>
      </c>
      <c r="AC162" t="str">
        <f t="shared" si="4"/>
        <v>Small</v>
      </c>
      <c r="AD162" t="s">
        <v>577</v>
      </c>
      <c r="AE162" t="s">
        <v>43</v>
      </c>
      <c r="AF162" t="s">
        <v>57</v>
      </c>
      <c r="AG162" t="str">
        <f t="shared" si="5"/>
        <v>no</v>
      </c>
      <c r="AH162" t="s">
        <v>40</v>
      </c>
      <c r="AI162" t="s">
        <v>572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 x14ac:dyDescent="0.3">
      <c r="A163" t="s">
        <v>649</v>
      </c>
      <c r="B163" t="s">
        <v>99</v>
      </c>
      <c r="C163" t="s">
        <v>534</v>
      </c>
      <c r="D163" t="s">
        <v>487</v>
      </c>
      <c r="F163" t="s">
        <v>64</v>
      </c>
      <c r="G163">
        <v>64200</v>
      </c>
      <c r="H163">
        <v>0</v>
      </c>
      <c r="J163" t="s">
        <v>488</v>
      </c>
      <c r="K163" t="s">
        <v>489</v>
      </c>
      <c r="L163" t="s">
        <v>34</v>
      </c>
      <c r="N163" t="s">
        <v>490</v>
      </c>
      <c r="O163" t="s">
        <v>64</v>
      </c>
      <c r="P163">
        <v>702000000000000</v>
      </c>
      <c r="Q163">
        <v>5188850000000000</v>
      </c>
      <c r="S163">
        <v>10319</v>
      </c>
      <c r="T163">
        <v>6362</v>
      </c>
      <c r="U163">
        <v>0</v>
      </c>
      <c r="V163">
        <v>2.3221064814814812E-2</v>
      </c>
      <c r="W163">
        <v>18.45</v>
      </c>
      <c r="X163" t="s">
        <v>293</v>
      </c>
      <c r="Y163">
        <v>0</v>
      </c>
      <c r="Z163">
        <v>42694</v>
      </c>
      <c r="AA163">
        <v>26</v>
      </c>
      <c r="AB163">
        <v>250</v>
      </c>
      <c r="AC163" t="str">
        <f t="shared" si="4"/>
        <v>Medium</v>
      </c>
      <c r="AD163" t="s">
        <v>575</v>
      </c>
      <c r="AE163" t="s">
        <v>38</v>
      </c>
      <c r="AF163" t="s">
        <v>66</v>
      </c>
      <c r="AG163" t="str">
        <f t="shared" si="5"/>
        <v>yes</v>
      </c>
      <c r="AH163" t="s">
        <v>58</v>
      </c>
      <c r="AI163" t="s">
        <v>571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1</v>
      </c>
      <c r="BJ163">
        <v>0</v>
      </c>
      <c r="BK163">
        <v>1</v>
      </c>
      <c r="BL163">
        <v>0</v>
      </c>
    </row>
    <row r="164" spans="1:64" x14ac:dyDescent="0.3">
      <c r="A164" t="s">
        <v>585</v>
      </c>
      <c r="B164" t="s">
        <v>28</v>
      </c>
      <c r="C164" t="s">
        <v>81</v>
      </c>
      <c r="D164" t="s">
        <v>82</v>
      </c>
      <c r="F164" t="s">
        <v>72</v>
      </c>
      <c r="G164">
        <v>3569</v>
      </c>
      <c r="H164">
        <v>0</v>
      </c>
      <c r="J164" t="s">
        <v>83</v>
      </c>
      <c r="K164" t="s">
        <v>84</v>
      </c>
      <c r="L164" t="s">
        <v>52</v>
      </c>
      <c r="N164" t="s">
        <v>45</v>
      </c>
      <c r="O164" t="s">
        <v>31</v>
      </c>
      <c r="P164" t="s">
        <v>85</v>
      </c>
      <c r="Q164">
        <v>4235920000000000</v>
      </c>
      <c r="S164">
        <v>10027</v>
      </c>
      <c r="T164">
        <v>831</v>
      </c>
      <c r="U164">
        <v>0</v>
      </c>
      <c r="V164">
        <v>2.3605324074074074E-2</v>
      </c>
      <c r="W164">
        <v>7.02</v>
      </c>
      <c r="X164" t="s">
        <v>87</v>
      </c>
      <c r="Y164">
        <v>0</v>
      </c>
      <c r="Z164">
        <v>42699</v>
      </c>
      <c r="AA164">
        <v>32</v>
      </c>
      <c r="AB164">
        <v>42.16</v>
      </c>
      <c r="AC164" t="str">
        <f t="shared" si="4"/>
        <v>Small</v>
      </c>
      <c r="AD164" t="s">
        <v>577</v>
      </c>
      <c r="AE164" t="s">
        <v>38</v>
      </c>
      <c r="AF164" t="s">
        <v>66</v>
      </c>
      <c r="AG164" t="str">
        <f t="shared" si="5"/>
        <v>no</v>
      </c>
      <c r="AH164" t="s">
        <v>44</v>
      </c>
      <c r="AI164" t="s">
        <v>571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 x14ac:dyDescent="0.3">
      <c r="A165" t="s">
        <v>639</v>
      </c>
      <c r="B165" t="s">
        <v>28</v>
      </c>
      <c r="C165" t="s">
        <v>439</v>
      </c>
      <c r="D165" t="s">
        <v>440</v>
      </c>
      <c r="E165" t="s">
        <v>441</v>
      </c>
      <c r="F165" t="s">
        <v>92</v>
      </c>
      <c r="G165">
        <v>62220</v>
      </c>
      <c r="H165">
        <v>0</v>
      </c>
      <c r="J165" t="s">
        <v>442</v>
      </c>
      <c r="K165" t="s">
        <v>443</v>
      </c>
      <c r="L165" t="s">
        <v>537</v>
      </c>
      <c r="N165" t="s">
        <v>334</v>
      </c>
      <c r="O165" t="s">
        <v>64</v>
      </c>
      <c r="P165">
        <v>229000000000000</v>
      </c>
      <c r="Q165">
        <v>3528760000000000</v>
      </c>
      <c r="S165">
        <v>10275</v>
      </c>
      <c r="T165">
        <v>4110</v>
      </c>
      <c r="U165">
        <v>0</v>
      </c>
      <c r="V165">
        <v>2.3605324074074074E-2</v>
      </c>
      <c r="W165">
        <v>13.25</v>
      </c>
      <c r="X165" t="s">
        <v>87</v>
      </c>
      <c r="Y165">
        <v>0</v>
      </c>
      <c r="Z165">
        <v>42699</v>
      </c>
      <c r="AA165">
        <v>76</v>
      </c>
      <c r="AB165">
        <v>133.5</v>
      </c>
      <c r="AC165" t="str">
        <f t="shared" si="4"/>
        <v>Medium</v>
      </c>
      <c r="AD165" t="s">
        <v>575</v>
      </c>
      <c r="AE165" t="s">
        <v>43</v>
      </c>
      <c r="AF165" t="s">
        <v>66</v>
      </c>
      <c r="AG165" t="str">
        <f t="shared" si="5"/>
        <v>yes</v>
      </c>
      <c r="AH165" t="s">
        <v>40</v>
      </c>
      <c r="AI165" t="s">
        <v>573</v>
      </c>
      <c r="AJ165">
        <v>0</v>
      </c>
      <c r="AK165">
        <v>0</v>
      </c>
      <c r="AL165">
        <v>0</v>
      </c>
      <c r="AM165">
        <v>1</v>
      </c>
      <c r="AN165">
        <v>1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 x14ac:dyDescent="0.3">
      <c r="A166" t="s">
        <v>647</v>
      </c>
      <c r="B166" t="s">
        <v>99</v>
      </c>
      <c r="C166" t="s">
        <v>478</v>
      </c>
      <c r="D166" t="s">
        <v>479</v>
      </c>
      <c r="E166" t="s">
        <v>179</v>
      </c>
      <c r="F166" t="s">
        <v>92</v>
      </c>
      <c r="G166">
        <v>90210</v>
      </c>
      <c r="H166">
        <v>0</v>
      </c>
      <c r="J166" t="s">
        <v>480</v>
      </c>
      <c r="K166" t="s">
        <v>481</v>
      </c>
      <c r="L166" t="s">
        <v>95</v>
      </c>
      <c r="N166" t="s">
        <v>123</v>
      </c>
      <c r="O166" t="s">
        <v>36</v>
      </c>
      <c r="P166">
        <v>22868377</v>
      </c>
      <c r="Q166">
        <v>375512000000000</v>
      </c>
      <c r="S166">
        <v>10311</v>
      </c>
      <c r="T166">
        <v>5766</v>
      </c>
      <c r="U166">
        <v>0</v>
      </c>
      <c r="V166">
        <v>2.3605324074074074E-2</v>
      </c>
      <c r="W166">
        <v>7.12</v>
      </c>
      <c r="X166" t="s">
        <v>87</v>
      </c>
      <c r="Y166">
        <v>0</v>
      </c>
      <c r="Z166">
        <v>42699</v>
      </c>
      <c r="AA166">
        <v>40</v>
      </c>
      <c r="AB166">
        <v>15.99</v>
      </c>
      <c r="AC166" t="str">
        <f t="shared" si="4"/>
        <v>Small</v>
      </c>
      <c r="AD166" t="s">
        <v>575</v>
      </c>
      <c r="AE166" t="s">
        <v>38</v>
      </c>
      <c r="AF166" t="s">
        <v>66</v>
      </c>
      <c r="AG166" t="str">
        <f t="shared" si="5"/>
        <v>yes</v>
      </c>
      <c r="AH166" t="s">
        <v>44</v>
      </c>
      <c r="AI166" t="s">
        <v>571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 x14ac:dyDescent="0.3">
      <c r="A167" t="s">
        <v>598</v>
      </c>
      <c r="B167" t="s">
        <v>193</v>
      </c>
      <c r="C167" t="s">
        <v>194</v>
      </c>
      <c r="D167" t="s">
        <v>195</v>
      </c>
      <c r="E167" t="s">
        <v>196</v>
      </c>
      <c r="F167" t="s">
        <v>92</v>
      </c>
      <c r="G167">
        <v>79109</v>
      </c>
      <c r="H167">
        <v>0</v>
      </c>
      <c r="J167" t="s">
        <v>197</v>
      </c>
      <c r="K167" t="s">
        <v>198</v>
      </c>
      <c r="L167" t="s">
        <v>95</v>
      </c>
      <c r="N167" t="s">
        <v>199</v>
      </c>
      <c r="O167" t="s">
        <v>31</v>
      </c>
      <c r="P167" t="s">
        <v>200</v>
      </c>
      <c r="Q167">
        <v>341829000000000</v>
      </c>
      <c r="S167">
        <v>10091</v>
      </c>
      <c r="T167">
        <v>7265</v>
      </c>
      <c r="U167">
        <v>0</v>
      </c>
      <c r="V167">
        <v>5.3171296296296291E-3</v>
      </c>
      <c r="W167">
        <v>7.45</v>
      </c>
      <c r="X167" t="s">
        <v>202</v>
      </c>
      <c r="Y167">
        <v>0</v>
      </c>
      <c r="Z167">
        <v>42704</v>
      </c>
      <c r="AA167">
        <v>40</v>
      </c>
      <c r="AB167">
        <v>35.159999999999997</v>
      </c>
      <c r="AC167" t="str">
        <f t="shared" si="4"/>
        <v>Small</v>
      </c>
      <c r="AD167" t="s">
        <v>578</v>
      </c>
      <c r="AE167" t="s">
        <v>38</v>
      </c>
      <c r="AF167" t="s">
        <v>66</v>
      </c>
      <c r="AG167" t="str">
        <f t="shared" si="5"/>
        <v>no</v>
      </c>
      <c r="AH167" t="s">
        <v>44</v>
      </c>
      <c r="AI167" t="s">
        <v>571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 x14ac:dyDescent="0.3">
      <c r="A168" t="s">
        <v>653</v>
      </c>
      <c r="B168" t="s">
        <v>99</v>
      </c>
      <c r="C168" t="s">
        <v>509</v>
      </c>
      <c r="D168" t="s">
        <v>510</v>
      </c>
      <c r="E168" t="s">
        <v>511</v>
      </c>
      <c r="F168" t="s">
        <v>92</v>
      </c>
      <c r="G168">
        <v>35222</v>
      </c>
      <c r="H168">
        <v>0</v>
      </c>
      <c r="J168" t="s">
        <v>512</v>
      </c>
      <c r="K168" t="s">
        <v>513</v>
      </c>
      <c r="L168" t="s">
        <v>75</v>
      </c>
      <c r="N168" t="s">
        <v>514</v>
      </c>
      <c r="O168" t="s">
        <v>179</v>
      </c>
      <c r="P168">
        <v>944146232</v>
      </c>
      <c r="Q168">
        <v>6011070000000000</v>
      </c>
      <c r="S168">
        <v>10335</v>
      </c>
      <c r="T168">
        <v>7464</v>
      </c>
      <c r="U168">
        <v>0</v>
      </c>
      <c r="V168">
        <v>2.2744212962962963E-2</v>
      </c>
      <c r="W168">
        <v>48.52</v>
      </c>
      <c r="X168" t="s">
        <v>515</v>
      </c>
      <c r="Y168">
        <v>0</v>
      </c>
      <c r="Z168">
        <v>42712</v>
      </c>
      <c r="AA168">
        <v>45</v>
      </c>
      <c r="AB168">
        <v>31.71</v>
      </c>
      <c r="AC168" t="str">
        <f t="shared" si="4"/>
        <v>Small</v>
      </c>
      <c r="AD168" t="s">
        <v>575</v>
      </c>
      <c r="AE168" t="s">
        <v>38</v>
      </c>
      <c r="AF168" t="s">
        <v>66</v>
      </c>
      <c r="AG168" t="str">
        <f t="shared" si="5"/>
        <v>yes</v>
      </c>
      <c r="AH168" t="s">
        <v>44</v>
      </c>
      <c r="AI168" t="s">
        <v>574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 x14ac:dyDescent="0.3">
      <c r="A169" t="s">
        <v>590</v>
      </c>
      <c r="B169" t="s">
        <v>28</v>
      </c>
      <c r="C169" t="s">
        <v>124</v>
      </c>
      <c r="D169" t="s">
        <v>125</v>
      </c>
      <c r="E169" t="s">
        <v>126</v>
      </c>
      <c r="F169" t="s">
        <v>92</v>
      </c>
      <c r="G169">
        <v>87109</v>
      </c>
      <c r="H169">
        <v>0</v>
      </c>
      <c r="J169" t="s">
        <v>127</v>
      </c>
      <c r="K169" t="s">
        <v>128</v>
      </c>
      <c r="L169" t="s">
        <v>95</v>
      </c>
      <c r="N169" t="s">
        <v>129</v>
      </c>
      <c r="O169" t="s">
        <v>64</v>
      </c>
      <c r="P169">
        <v>176000000000000</v>
      </c>
      <c r="Q169">
        <v>374980000000000</v>
      </c>
      <c r="S169">
        <v>10051</v>
      </c>
      <c r="T169">
        <v>6487</v>
      </c>
      <c r="U169">
        <v>0</v>
      </c>
      <c r="V169">
        <v>3.0493055555555551E-2</v>
      </c>
      <c r="W169">
        <v>17.87</v>
      </c>
      <c r="X169" t="s">
        <v>135</v>
      </c>
      <c r="Y169">
        <v>0</v>
      </c>
      <c r="Z169">
        <v>42716</v>
      </c>
      <c r="AA169">
        <v>47</v>
      </c>
      <c r="AB169">
        <v>42.24</v>
      </c>
      <c r="AC169" t="str">
        <f t="shared" si="4"/>
        <v>Small</v>
      </c>
      <c r="AD169" t="s">
        <v>575</v>
      </c>
      <c r="AE169" t="s">
        <v>38</v>
      </c>
      <c r="AF169" t="s">
        <v>66</v>
      </c>
      <c r="AG169" t="str">
        <f t="shared" si="5"/>
        <v>yes</v>
      </c>
      <c r="AH169" t="s">
        <v>44</v>
      </c>
      <c r="AI169" t="s">
        <v>574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 x14ac:dyDescent="0.3">
      <c r="A170" t="s">
        <v>599</v>
      </c>
      <c r="B170" t="s">
        <v>99</v>
      </c>
      <c r="C170" t="s">
        <v>203</v>
      </c>
      <c r="D170" t="s">
        <v>204</v>
      </c>
      <c r="E170" t="s">
        <v>179</v>
      </c>
      <c r="F170" t="s">
        <v>92</v>
      </c>
      <c r="G170">
        <v>92805</v>
      </c>
      <c r="H170">
        <v>0</v>
      </c>
      <c r="J170" t="s">
        <v>205</v>
      </c>
      <c r="K170" t="s">
        <v>206</v>
      </c>
      <c r="L170" t="s">
        <v>141</v>
      </c>
      <c r="N170" t="s">
        <v>159</v>
      </c>
      <c r="O170" t="s">
        <v>64</v>
      </c>
      <c r="P170">
        <v>700000000000000</v>
      </c>
      <c r="Q170">
        <v>36624200000000</v>
      </c>
      <c r="S170">
        <v>10095</v>
      </c>
      <c r="T170">
        <v>3967</v>
      </c>
      <c r="U170">
        <v>0</v>
      </c>
      <c r="V170">
        <v>3.0493055555555551E-2</v>
      </c>
      <c r="W170">
        <v>11.88</v>
      </c>
      <c r="X170" t="s">
        <v>209</v>
      </c>
      <c r="Y170">
        <v>0</v>
      </c>
      <c r="Z170">
        <v>42716</v>
      </c>
      <c r="AA170" t="s">
        <v>207</v>
      </c>
      <c r="AB170">
        <v>281.82</v>
      </c>
      <c r="AC170" t="str">
        <f t="shared" si="4"/>
        <v>Medium</v>
      </c>
      <c r="AD170" t="s">
        <v>575</v>
      </c>
      <c r="AE170" t="s">
        <v>38</v>
      </c>
      <c r="AF170" t="s">
        <v>39</v>
      </c>
      <c r="AG170" t="str">
        <f t="shared" si="5"/>
        <v>yes</v>
      </c>
      <c r="AH170" t="s">
        <v>58</v>
      </c>
      <c r="AI170" t="s">
        <v>572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</v>
      </c>
      <c r="BB170">
        <v>1</v>
      </c>
      <c r="BC170">
        <v>0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</row>
    <row r="171" spans="1:64" x14ac:dyDescent="0.3">
      <c r="A171" t="s">
        <v>615</v>
      </c>
      <c r="B171" t="s">
        <v>99</v>
      </c>
      <c r="C171" t="s">
        <v>307</v>
      </c>
      <c r="D171" t="s">
        <v>308</v>
      </c>
      <c r="E171" t="s">
        <v>267</v>
      </c>
      <c r="F171" t="s">
        <v>218</v>
      </c>
      <c r="G171">
        <v>2077</v>
      </c>
      <c r="H171">
        <v>0</v>
      </c>
      <c r="J171" t="s">
        <v>309</v>
      </c>
      <c r="K171" t="s">
        <v>310</v>
      </c>
      <c r="L171" t="s">
        <v>95</v>
      </c>
      <c r="N171" t="s">
        <v>270</v>
      </c>
      <c r="O171" t="s">
        <v>72</v>
      </c>
      <c r="P171" t="s">
        <v>311</v>
      </c>
      <c r="Q171">
        <v>345604000000000</v>
      </c>
      <c r="S171">
        <v>10159</v>
      </c>
      <c r="T171">
        <v>3072</v>
      </c>
      <c r="U171">
        <v>0</v>
      </c>
      <c r="V171">
        <v>3.0495370370370371E-2</v>
      </c>
      <c r="W171">
        <v>11.45</v>
      </c>
      <c r="X171" t="s">
        <v>312</v>
      </c>
      <c r="Y171">
        <v>0</v>
      </c>
      <c r="Z171">
        <v>42716</v>
      </c>
      <c r="AA171">
        <v>53</v>
      </c>
      <c r="AB171">
        <v>45.27</v>
      </c>
      <c r="AC171" t="str">
        <f t="shared" si="4"/>
        <v>Small</v>
      </c>
      <c r="AD171" t="s">
        <v>575</v>
      </c>
      <c r="AE171" t="s">
        <v>38</v>
      </c>
      <c r="AF171" t="s">
        <v>66</v>
      </c>
      <c r="AG171" t="str">
        <f t="shared" si="5"/>
        <v>yes</v>
      </c>
      <c r="AH171" t="s">
        <v>44</v>
      </c>
      <c r="AI171" t="s">
        <v>573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1</v>
      </c>
      <c r="AW171">
        <v>1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 x14ac:dyDescent="0.3">
      <c r="A172" t="s">
        <v>652</v>
      </c>
      <c r="B172" t="s">
        <v>28</v>
      </c>
      <c r="C172" t="s">
        <v>503</v>
      </c>
      <c r="D172" t="s">
        <v>504</v>
      </c>
      <c r="E172" t="s">
        <v>505</v>
      </c>
      <c r="F172" t="s">
        <v>92</v>
      </c>
      <c r="G172">
        <v>99740</v>
      </c>
      <c r="H172">
        <v>0</v>
      </c>
      <c r="J172" t="s">
        <v>506</v>
      </c>
      <c r="K172" t="s">
        <v>507</v>
      </c>
      <c r="L172" t="s">
        <v>75</v>
      </c>
      <c r="N172" t="s">
        <v>243</v>
      </c>
      <c r="O172" t="s">
        <v>72</v>
      </c>
      <c r="P172" t="s">
        <v>508</v>
      </c>
      <c r="Q172">
        <v>6011160000000000</v>
      </c>
      <c r="S172">
        <v>10331</v>
      </c>
      <c r="T172">
        <v>1944</v>
      </c>
      <c r="U172">
        <v>0</v>
      </c>
      <c r="V172">
        <v>3.0493055555555551E-2</v>
      </c>
      <c r="W172">
        <v>19.05</v>
      </c>
      <c r="X172" t="s">
        <v>209</v>
      </c>
      <c r="Y172">
        <v>0</v>
      </c>
      <c r="Z172">
        <v>42716</v>
      </c>
      <c r="AA172">
        <v>64</v>
      </c>
      <c r="AB172">
        <v>10</v>
      </c>
      <c r="AC172" t="str">
        <f t="shared" si="4"/>
        <v>Small</v>
      </c>
      <c r="AD172" t="s">
        <v>576</v>
      </c>
      <c r="AE172" t="s">
        <v>38</v>
      </c>
      <c r="AF172" t="s">
        <v>66</v>
      </c>
      <c r="AG172" t="str">
        <f t="shared" si="5"/>
        <v>no</v>
      </c>
      <c r="AH172" t="s">
        <v>44</v>
      </c>
      <c r="AI172" t="s">
        <v>573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 x14ac:dyDescent="0.3">
      <c r="A173" t="s">
        <v>592</v>
      </c>
      <c r="B173" t="s">
        <v>28</v>
      </c>
      <c r="C173" t="s">
        <v>146</v>
      </c>
      <c r="D173" t="s">
        <v>147</v>
      </c>
      <c r="F173" t="s">
        <v>72</v>
      </c>
      <c r="G173">
        <v>37340</v>
      </c>
      <c r="H173">
        <v>0</v>
      </c>
      <c r="J173" t="s">
        <v>148</v>
      </c>
      <c r="K173" t="s">
        <v>149</v>
      </c>
      <c r="L173" t="s">
        <v>52</v>
      </c>
      <c r="N173" t="s">
        <v>150</v>
      </c>
      <c r="O173" t="s">
        <v>64</v>
      </c>
      <c r="P173">
        <v>210000000000000</v>
      </c>
      <c r="Q173">
        <v>4699080000000000</v>
      </c>
      <c r="S173">
        <v>10059</v>
      </c>
      <c r="T173">
        <v>3363</v>
      </c>
      <c r="U173">
        <v>0</v>
      </c>
      <c r="V173">
        <v>1.649074074074074E-2</v>
      </c>
      <c r="W173">
        <v>68.569999999999993</v>
      </c>
      <c r="X173" t="s">
        <v>153</v>
      </c>
      <c r="Y173">
        <v>0</v>
      </c>
      <c r="Z173">
        <v>42719</v>
      </c>
      <c r="AA173" t="s">
        <v>152</v>
      </c>
      <c r="AB173">
        <v>173.62</v>
      </c>
      <c r="AC173" t="str">
        <f t="shared" si="4"/>
        <v>Medium</v>
      </c>
      <c r="AD173" t="s">
        <v>575</v>
      </c>
      <c r="AE173" t="s">
        <v>38</v>
      </c>
      <c r="AF173" t="s">
        <v>57</v>
      </c>
      <c r="AG173" t="str">
        <f t="shared" si="5"/>
        <v>yes</v>
      </c>
      <c r="AH173" t="s">
        <v>58</v>
      </c>
      <c r="AI173" t="s">
        <v>572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0</v>
      </c>
    </row>
    <row r="174" spans="1:64" x14ac:dyDescent="0.3">
      <c r="A174" t="s">
        <v>612</v>
      </c>
      <c r="B174" t="s">
        <v>28</v>
      </c>
      <c r="C174" t="s">
        <v>294</v>
      </c>
      <c r="D174" t="s">
        <v>295</v>
      </c>
      <c r="E174" t="s">
        <v>296</v>
      </c>
      <c r="F174" t="s">
        <v>92</v>
      </c>
      <c r="G174">
        <v>27203</v>
      </c>
      <c r="H174">
        <v>0</v>
      </c>
      <c r="J174" t="s">
        <v>297</v>
      </c>
      <c r="K174" t="s">
        <v>298</v>
      </c>
      <c r="L174" t="s">
        <v>75</v>
      </c>
      <c r="N174" t="s">
        <v>246</v>
      </c>
      <c r="O174" t="s">
        <v>64</v>
      </c>
      <c r="P174">
        <v>783000000000000</v>
      </c>
      <c r="Q174">
        <v>6011950000000000</v>
      </c>
      <c r="S174">
        <v>10151</v>
      </c>
      <c r="T174">
        <v>8270</v>
      </c>
      <c r="U174">
        <v>0</v>
      </c>
      <c r="V174">
        <v>1.649074074074074E-2</v>
      </c>
      <c r="W174">
        <v>14.28</v>
      </c>
      <c r="X174" t="s">
        <v>153</v>
      </c>
      <c r="Y174">
        <v>0</v>
      </c>
      <c r="Z174">
        <v>42719</v>
      </c>
      <c r="AA174">
        <v>75</v>
      </c>
      <c r="AB174">
        <v>48.8</v>
      </c>
      <c r="AC174" t="str">
        <f t="shared" si="4"/>
        <v>Small</v>
      </c>
      <c r="AD174" t="s">
        <v>575</v>
      </c>
      <c r="AE174" t="s">
        <v>43</v>
      </c>
      <c r="AF174" t="s">
        <v>39</v>
      </c>
      <c r="AG174" t="str">
        <f t="shared" si="5"/>
        <v>yes</v>
      </c>
      <c r="AH174" t="s">
        <v>44</v>
      </c>
      <c r="AI174" t="s">
        <v>573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 x14ac:dyDescent="0.3">
      <c r="A175" t="s">
        <v>602</v>
      </c>
      <c r="B175" t="s">
        <v>99</v>
      </c>
      <c r="C175" t="s">
        <v>225</v>
      </c>
      <c r="D175" t="s">
        <v>226</v>
      </c>
      <c r="E175" t="s">
        <v>179</v>
      </c>
      <c r="F175" t="s">
        <v>92</v>
      </c>
      <c r="G175">
        <v>94508</v>
      </c>
      <c r="H175">
        <v>0</v>
      </c>
      <c r="J175" t="s">
        <v>227</v>
      </c>
      <c r="K175" t="s">
        <v>228</v>
      </c>
      <c r="L175" t="s">
        <v>141</v>
      </c>
      <c r="N175" t="s">
        <v>133</v>
      </c>
      <c r="O175" t="s">
        <v>72</v>
      </c>
      <c r="P175" t="s">
        <v>229</v>
      </c>
      <c r="Q175">
        <v>36634500000000</v>
      </c>
      <c r="S175">
        <v>10107</v>
      </c>
      <c r="T175">
        <v>7943</v>
      </c>
      <c r="U175">
        <v>0</v>
      </c>
      <c r="V175">
        <v>1.9402777777777779E-2</v>
      </c>
      <c r="W175">
        <v>21.97</v>
      </c>
      <c r="X175" t="s">
        <v>191</v>
      </c>
      <c r="Y175">
        <v>0</v>
      </c>
      <c r="Z175">
        <v>42720</v>
      </c>
      <c r="AA175">
        <v>64</v>
      </c>
      <c r="AB175">
        <v>46.92</v>
      </c>
      <c r="AC175" t="str">
        <f t="shared" si="4"/>
        <v>Small</v>
      </c>
      <c r="AD175" t="s">
        <v>575</v>
      </c>
      <c r="AE175" t="s">
        <v>38</v>
      </c>
      <c r="AF175" t="s">
        <v>66</v>
      </c>
      <c r="AG175" t="str">
        <f t="shared" si="5"/>
        <v>yes</v>
      </c>
      <c r="AH175" t="s">
        <v>44</v>
      </c>
      <c r="AI175" t="s">
        <v>573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1</v>
      </c>
      <c r="AW175">
        <v>1</v>
      </c>
      <c r="AX175">
        <v>0</v>
      </c>
      <c r="AY175">
        <v>0</v>
      </c>
      <c r="AZ175">
        <v>1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 x14ac:dyDescent="0.3">
      <c r="A176" t="s">
        <v>621</v>
      </c>
      <c r="B176" t="s">
        <v>99</v>
      </c>
      <c r="C176" t="s">
        <v>342</v>
      </c>
      <c r="D176" t="s">
        <v>343</v>
      </c>
      <c r="F176" t="s">
        <v>64</v>
      </c>
      <c r="G176">
        <v>93600</v>
      </c>
      <c r="H176">
        <v>0</v>
      </c>
      <c r="J176" t="s">
        <v>344</v>
      </c>
      <c r="K176" t="s">
        <v>345</v>
      </c>
      <c r="L176" t="s">
        <v>95</v>
      </c>
      <c r="N176" t="s">
        <v>121</v>
      </c>
      <c r="O176" t="s">
        <v>72</v>
      </c>
      <c r="P176" t="s">
        <v>346</v>
      </c>
      <c r="Q176">
        <v>341480000000000</v>
      </c>
      <c r="S176">
        <v>10187</v>
      </c>
      <c r="T176">
        <v>3576</v>
      </c>
      <c r="U176">
        <v>0</v>
      </c>
      <c r="V176">
        <v>1.9402777777777779E-2</v>
      </c>
      <c r="W176">
        <v>11.15</v>
      </c>
      <c r="X176" t="s">
        <v>191</v>
      </c>
      <c r="Y176">
        <v>0</v>
      </c>
      <c r="Z176">
        <v>42720</v>
      </c>
      <c r="AA176">
        <v>75</v>
      </c>
      <c r="AB176">
        <v>260.57</v>
      </c>
      <c r="AC176" t="str">
        <f t="shared" si="4"/>
        <v>Medium</v>
      </c>
      <c r="AD176" t="s">
        <v>575</v>
      </c>
      <c r="AE176" t="s">
        <v>43</v>
      </c>
      <c r="AF176" t="s">
        <v>39</v>
      </c>
      <c r="AG176" t="str">
        <f t="shared" si="5"/>
        <v>yes</v>
      </c>
      <c r="AH176" t="s">
        <v>58</v>
      </c>
      <c r="AI176" t="s">
        <v>573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1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0</v>
      </c>
      <c r="BK176">
        <v>1</v>
      </c>
      <c r="BL176">
        <v>1</v>
      </c>
    </row>
    <row r="177" spans="1:64" x14ac:dyDescent="0.3">
      <c r="A177" t="s">
        <v>644</v>
      </c>
      <c r="B177" t="s">
        <v>99</v>
      </c>
      <c r="C177" t="s">
        <v>465</v>
      </c>
      <c r="D177" t="s">
        <v>466</v>
      </c>
      <c r="F177" t="s">
        <v>49</v>
      </c>
      <c r="G177">
        <v>83471</v>
      </c>
      <c r="H177">
        <v>0</v>
      </c>
      <c r="J177" t="s">
        <v>467</v>
      </c>
      <c r="K177" t="s">
        <v>468</v>
      </c>
      <c r="L177" t="s">
        <v>141</v>
      </c>
      <c r="N177" t="s">
        <v>208</v>
      </c>
      <c r="O177" t="s">
        <v>179</v>
      </c>
      <c r="P177">
        <v>777215385</v>
      </c>
      <c r="Q177">
        <v>36006500000000</v>
      </c>
      <c r="S177">
        <v>10299</v>
      </c>
      <c r="T177">
        <v>7953</v>
      </c>
      <c r="U177">
        <v>0</v>
      </c>
      <c r="V177">
        <v>1.9402777777777779E-2</v>
      </c>
      <c r="W177">
        <v>8.23</v>
      </c>
      <c r="X177" t="s">
        <v>191</v>
      </c>
      <c r="Y177">
        <v>0</v>
      </c>
      <c r="Z177">
        <v>42720</v>
      </c>
      <c r="AA177">
        <v>41</v>
      </c>
      <c r="AB177">
        <v>50</v>
      </c>
      <c r="AC177" t="str">
        <f t="shared" si="4"/>
        <v>Small</v>
      </c>
      <c r="AD177" t="s">
        <v>575</v>
      </c>
      <c r="AE177" t="s">
        <v>38</v>
      </c>
      <c r="AF177" t="s">
        <v>66</v>
      </c>
      <c r="AG177" t="str">
        <f t="shared" si="5"/>
        <v>yes</v>
      </c>
      <c r="AH177" t="s">
        <v>44</v>
      </c>
      <c r="AI177" t="s">
        <v>571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 x14ac:dyDescent="0.3">
      <c r="A178" t="s">
        <v>588</v>
      </c>
      <c r="B178" t="s">
        <v>28</v>
      </c>
      <c r="C178" t="s">
        <v>107</v>
      </c>
      <c r="D178" t="s">
        <v>108</v>
      </c>
      <c r="E178" t="s">
        <v>109</v>
      </c>
      <c r="F178" t="s">
        <v>92</v>
      </c>
      <c r="G178">
        <v>12204</v>
      </c>
      <c r="H178">
        <v>0</v>
      </c>
      <c r="J178" t="s">
        <v>110</v>
      </c>
      <c r="K178" t="s">
        <v>111</v>
      </c>
      <c r="L178" t="s">
        <v>34</v>
      </c>
      <c r="N178" t="s">
        <v>98</v>
      </c>
      <c r="O178" t="s">
        <v>31</v>
      </c>
      <c r="P178" t="s">
        <v>112</v>
      </c>
      <c r="Q178">
        <v>5179760000000000</v>
      </c>
      <c r="S178">
        <v>10039</v>
      </c>
      <c r="T178">
        <v>5317</v>
      </c>
      <c r="U178">
        <v>0</v>
      </c>
      <c r="V178">
        <v>2.3803240740740739E-2</v>
      </c>
      <c r="W178">
        <v>5.85</v>
      </c>
      <c r="X178" t="s">
        <v>114</v>
      </c>
      <c r="Y178">
        <v>0</v>
      </c>
      <c r="Z178">
        <v>42723</v>
      </c>
      <c r="AA178">
        <v>72</v>
      </c>
      <c r="AB178">
        <v>235.6</v>
      </c>
      <c r="AC178" t="str">
        <f t="shared" si="4"/>
        <v>Medium</v>
      </c>
      <c r="AD178" t="s">
        <v>575</v>
      </c>
      <c r="AE178" t="s">
        <v>43</v>
      </c>
      <c r="AF178" t="s">
        <v>39</v>
      </c>
      <c r="AG178" t="str">
        <f t="shared" si="5"/>
        <v>yes</v>
      </c>
      <c r="AH178" t="s">
        <v>58</v>
      </c>
      <c r="AI178" t="s">
        <v>573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1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0</v>
      </c>
      <c r="BK178">
        <v>0</v>
      </c>
      <c r="BL178">
        <v>0</v>
      </c>
    </row>
    <row r="179" spans="1:64" x14ac:dyDescent="0.3">
      <c r="A179" t="s">
        <v>593</v>
      </c>
      <c r="B179" t="s">
        <v>28</v>
      </c>
      <c r="C179" t="s">
        <v>154</v>
      </c>
      <c r="D179" t="s">
        <v>161</v>
      </c>
      <c r="E179" t="s">
        <v>156</v>
      </c>
      <c r="F179" t="s">
        <v>92</v>
      </c>
      <c r="G179">
        <v>71301</v>
      </c>
      <c r="H179">
        <v>0</v>
      </c>
      <c r="J179" t="s">
        <v>157</v>
      </c>
      <c r="K179" t="s">
        <v>158</v>
      </c>
      <c r="L179" t="s">
        <v>141</v>
      </c>
      <c r="N179" t="s">
        <v>159</v>
      </c>
      <c r="O179" t="s">
        <v>64</v>
      </c>
      <c r="P179">
        <v>754000000000000</v>
      </c>
      <c r="Q179">
        <v>36237400000000</v>
      </c>
      <c r="S179">
        <v>10063</v>
      </c>
      <c r="T179">
        <v>3586</v>
      </c>
      <c r="U179">
        <v>0</v>
      </c>
      <c r="V179">
        <v>2.3803240740740739E-2</v>
      </c>
      <c r="W179">
        <v>11.45</v>
      </c>
      <c r="X179" t="s">
        <v>114</v>
      </c>
      <c r="Y179">
        <v>0</v>
      </c>
      <c r="Z179">
        <v>42723</v>
      </c>
      <c r="AA179">
        <v>65</v>
      </c>
      <c r="AB179">
        <v>270.16000000000003</v>
      </c>
      <c r="AC179" t="str">
        <f t="shared" si="4"/>
        <v>Medium</v>
      </c>
      <c r="AD179" t="s">
        <v>575</v>
      </c>
      <c r="AE179" t="s">
        <v>43</v>
      </c>
      <c r="AF179" t="s">
        <v>39</v>
      </c>
      <c r="AG179" t="str">
        <f t="shared" si="5"/>
        <v>yes</v>
      </c>
      <c r="AH179" t="s">
        <v>58</v>
      </c>
      <c r="AI179" t="s">
        <v>573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1</v>
      </c>
    </row>
    <row r="180" spans="1:64" x14ac:dyDescent="0.3">
      <c r="A180" t="s">
        <v>585</v>
      </c>
      <c r="B180" t="s">
        <v>28</v>
      </c>
      <c r="C180" t="s">
        <v>81</v>
      </c>
      <c r="D180" t="s">
        <v>82</v>
      </c>
      <c r="F180" t="s">
        <v>72</v>
      </c>
      <c r="G180">
        <v>3569</v>
      </c>
      <c r="H180">
        <v>0</v>
      </c>
      <c r="J180" t="s">
        <v>83</v>
      </c>
      <c r="K180" t="s">
        <v>84</v>
      </c>
      <c r="L180" t="s">
        <v>52</v>
      </c>
      <c r="N180" t="s">
        <v>45</v>
      </c>
      <c r="O180" t="s">
        <v>31</v>
      </c>
      <c r="P180" t="s">
        <v>85</v>
      </c>
      <c r="Q180">
        <v>4172780000000000</v>
      </c>
      <c r="S180">
        <v>10027</v>
      </c>
      <c r="T180">
        <v>139</v>
      </c>
      <c r="U180">
        <v>0</v>
      </c>
      <c r="V180">
        <v>2.3435185185185187E-2</v>
      </c>
      <c r="W180">
        <v>24.08</v>
      </c>
      <c r="X180" t="s">
        <v>86</v>
      </c>
      <c r="Y180">
        <v>0</v>
      </c>
      <c r="Z180">
        <v>42724</v>
      </c>
      <c r="AA180">
        <v>32</v>
      </c>
      <c r="AB180">
        <v>10.11</v>
      </c>
      <c r="AC180" t="str">
        <f t="shared" si="4"/>
        <v>Small</v>
      </c>
      <c r="AD180" t="s">
        <v>575</v>
      </c>
      <c r="AE180" t="s">
        <v>38</v>
      </c>
      <c r="AF180" t="s">
        <v>66</v>
      </c>
      <c r="AG180" t="str">
        <f t="shared" si="5"/>
        <v>yes</v>
      </c>
      <c r="AH180" t="s">
        <v>44</v>
      </c>
      <c r="AI180" t="s">
        <v>571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1</v>
      </c>
      <c r="AW180">
        <v>1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 x14ac:dyDescent="0.3">
      <c r="A181" t="s">
        <v>588</v>
      </c>
      <c r="B181" t="s">
        <v>28</v>
      </c>
      <c r="C181" t="s">
        <v>107</v>
      </c>
      <c r="D181" t="s">
        <v>108</v>
      </c>
      <c r="E181" t="s">
        <v>109</v>
      </c>
      <c r="F181" t="s">
        <v>92</v>
      </c>
      <c r="G181">
        <v>12204</v>
      </c>
      <c r="H181">
        <v>0</v>
      </c>
      <c r="J181" t="s">
        <v>110</v>
      </c>
      <c r="K181" t="s">
        <v>111</v>
      </c>
      <c r="L181" t="s">
        <v>34</v>
      </c>
      <c r="N181" t="s">
        <v>98</v>
      </c>
      <c r="O181" t="s">
        <v>31</v>
      </c>
      <c r="P181" t="s">
        <v>112</v>
      </c>
      <c r="Q181">
        <v>5155200000000000</v>
      </c>
      <c r="S181">
        <v>10039</v>
      </c>
      <c r="T181">
        <v>421</v>
      </c>
      <c r="U181">
        <v>0</v>
      </c>
      <c r="V181">
        <v>2.3435185185185187E-2</v>
      </c>
      <c r="W181">
        <v>22.77</v>
      </c>
      <c r="X181" t="s">
        <v>113</v>
      </c>
      <c r="Y181">
        <v>0</v>
      </c>
      <c r="Z181">
        <v>42724</v>
      </c>
      <c r="AA181">
        <v>72</v>
      </c>
      <c r="AB181">
        <v>224.71</v>
      </c>
      <c r="AC181" t="str">
        <f t="shared" si="4"/>
        <v>Medium</v>
      </c>
      <c r="AD181" t="s">
        <v>575</v>
      </c>
      <c r="AE181" t="s">
        <v>43</v>
      </c>
      <c r="AF181" t="s">
        <v>39</v>
      </c>
      <c r="AG181" t="str">
        <f t="shared" si="5"/>
        <v>yes</v>
      </c>
      <c r="AH181" t="s">
        <v>58</v>
      </c>
      <c r="AI181" t="s">
        <v>573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1</v>
      </c>
      <c r="BB181">
        <v>1</v>
      </c>
      <c r="BC181">
        <v>0</v>
      </c>
      <c r="BD181">
        <v>1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0</v>
      </c>
    </row>
    <row r="182" spans="1:64" x14ac:dyDescent="0.3">
      <c r="A182" t="s">
        <v>590</v>
      </c>
      <c r="B182" t="s">
        <v>28</v>
      </c>
      <c r="C182" t="s">
        <v>124</v>
      </c>
      <c r="D182" t="s">
        <v>125</v>
      </c>
      <c r="E182" t="s">
        <v>126</v>
      </c>
      <c r="F182" t="s">
        <v>92</v>
      </c>
      <c r="G182">
        <v>87109</v>
      </c>
      <c r="H182">
        <v>0</v>
      </c>
      <c r="J182" t="s">
        <v>127</v>
      </c>
      <c r="K182" t="s">
        <v>128</v>
      </c>
      <c r="L182" t="s">
        <v>95</v>
      </c>
      <c r="N182" t="s">
        <v>129</v>
      </c>
      <c r="O182" t="s">
        <v>64</v>
      </c>
      <c r="P182">
        <v>176000000000000</v>
      </c>
      <c r="Q182">
        <v>340232000000000</v>
      </c>
      <c r="S182">
        <v>10051</v>
      </c>
      <c r="T182">
        <v>5296</v>
      </c>
      <c r="U182">
        <v>0</v>
      </c>
      <c r="V182">
        <v>3.0747685185185183E-2</v>
      </c>
      <c r="W182">
        <v>48.52</v>
      </c>
      <c r="X182" t="s">
        <v>132</v>
      </c>
      <c r="Y182">
        <v>0</v>
      </c>
      <c r="Z182">
        <v>42724</v>
      </c>
      <c r="AA182">
        <v>47</v>
      </c>
      <c r="AB182">
        <v>27.45</v>
      </c>
      <c r="AC182" t="str">
        <f t="shared" si="4"/>
        <v>Small</v>
      </c>
      <c r="AD182" t="s">
        <v>575</v>
      </c>
      <c r="AE182" t="s">
        <v>38</v>
      </c>
      <c r="AF182" t="s">
        <v>66</v>
      </c>
      <c r="AG182" t="str">
        <f t="shared" si="5"/>
        <v>yes</v>
      </c>
      <c r="AH182" t="s">
        <v>44</v>
      </c>
      <c r="AI182" t="s">
        <v>574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1</v>
      </c>
      <c r="AW182">
        <v>1</v>
      </c>
      <c r="AX182">
        <v>0</v>
      </c>
      <c r="AY182">
        <v>0</v>
      </c>
      <c r="AZ182">
        <v>1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 x14ac:dyDescent="0.3">
      <c r="A183" t="s">
        <v>601</v>
      </c>
      <c r="B183" t="s">
        <v>99</v>
      </c>
      <c r="C183" t="s">
        <v>215</v>
      </c>
      <c r="D183" t="s">
        <v>216</v>
      </c>
      <c r="E183" t="s">
        <v>217</v>
      </c>
      <c r="F183" t="s">
        <v>218</v>
      </c>
      <c r="G183">
        <v>5255</v>
      </c>
      <c r="H183">
        <v>0</v>
      </c>
      <c r="J183" t="s">
        <v>219</v>
      </c>
      <c r="K183" t="s">
        <v>220</v>
      </c>
      <c r="L183" t="s">
        <v>95</v>
      </c>
      <c r="N183" t="s">
        <v>221</v>
      </c>
      <c r="O183" t="s">
        <v>31</v>
      </c>
      <c r="P183" t="s">
        <v>222</v>
      </c>
      <c r="Q183">
        <v>347760000000000</v>
      </c>
      <c r="S183">
        <v>10103</v>
      </c>
      <c r="T183">
        <v>4425</v>
      </c>
      <c r="U183">
        <v>0</v>
      </c>
      <c r="V183">
        <v>2.3803240740740739E-2</v>
      </c>
      <c r="W183">
        <v>2.87</v>
      </c>
      <c r="X183" t="s">
        <v>223</v>
      </c>
      <c r="Y183">
        <v>0</v>
      </c>
      <c r="Z183">
        <v>42724</v>
      </c>
      <c r="AA183">
        <v>51</v>
      </c>
      <c r="AB183">
        <v>20.89</v>
      </c>
      <c r="AC183" t="str">
        <f t="shared" si="4"/>
        <v>Small</v>
      </c>
      <c r="AD183" t="s">
        <v>575</v>
      </c>
      <c r="AE183" t="s">
        <v>38</v>
      </c>
      <c r="AF183" t="s">
        <v>66</v>
      </c>
      <c r="AG183" t="str">
        <f t="shared" si="5"/>
        <v>yes</v>
      </c>
      <c r="AH183" t="s">
        <v>44</v>
      </c>
      <c r="AI183" t="s">
        <v>574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1</v>
      </c>
      <c r="AW183">
        <v>1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 x14ac:dyDescent="0.3">
      <c r="A184" t="s">
        <v>610</v>
      </c>
      <c r="B184" t="s">
        <v>99</v>
      </c>
      <c r="C184" t="s">
        <v>281</v>
      </c>
      <c r="D184" t="s">
        <v>275</v>
      </c>
      <c r="E184" t="s">
        <v>282</v>
      </c>
      <c r="F184" t="s">
        <v>92</v>
      </c>
      <c r="G184">
        <v>68002</v>
      </c>
      <c r="H184">
        <v>0</v>
      </c>
      <c r="J184" t="s">
        <v>283</v>
      </c>
      <c r="K184" t="s">
        <v>284</v>
      </c>
      <c r="L184" t="s">
        <v>52</v>
      </c>
      <c r="N184" t="s">
        <v>285</v>
      </c>
      <c r="O184" t="s">
        <v>36</v>
      </c>
      <c r="P184">
        <v>492230001</v>
      </c>
      <c r="Q184">
        <v>4136050000000000</v>
      </c>
      <c r="S184">
        <v>10139</v>
      </c>
      <c r="T184">
        <v>4045</v>
      </c>
      <c r="U184">
        <v>0</v>
      </c>
      <c r="V184">
        <v>2.3435185185185187E-2</v>
      </c>
      <c r="W184">
        <v>52</v>
      </c>
      <c r="X184" t="s">
        <v>86</v>
      </c>
      <c r="Y184">
        <v>0</v>
      </c>
      <c r="Z184">
        <v>42724</v>
      </c>
      <c r="AA184">
        <v>53</v>
      </c>
      <c r="AB184">
        <v>40.119999999999997</v>
      </c>
      <c r="AC184" t="str">
        <f t="shared" si="4"/>
        <v>Small</v>
      </c>
      <c r="AD184" t="s">
        <v>575</v>
      </c>
      <c r="AE184" t="s">
        <v>38</v>
      </c>
      <c r="AF184" t="s">
        <v>66</v>
      </c>
      <c r="AG184" t="str">
        <f t="shared" si="5"/>
        <v>yes</v>
      </c>
      <c r="AH184" t="s">
        <v>44</v>
      </c>
      <c r="AI184" t="s">
        <v>573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1</v>
      </c>
      <c r="AW184">
        <v>1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 x14ac:dyDescent="0.3">
      <c r="A185" t="s">
        <v>615</v>
      </c>
      <c r="B185" t="s">
        <v>99</v>
      </c>
      <c r="C185" t="s">
        <v>307</v>
      </c>
      <c r="D185" t="s">
        <v>308</v>
      </c>
      <c r="E185" t="s">
        <v>267</v>
      </c>
      <c r="F185" t="s">
        <v>218</v>
      </c>
      <c r="G185">
        <v>2077</v>
      </c>
      <c r="H185">
        <v>0</v>
      </c>
      <c r="J185" t="s">
        <v>309</v>
      </c>
      <c r="K185" t="s">
        <v>310</v>
      </c>
      <c r="L185" t="s">
        <v>95</v>
      </c>
      <c r="N185" t="s">
        <v>270</v>
      </c>
      <c r="O185" t="s">
        <v>72</v>
      </c>
      <c r="P185" t="s">
        <v>311</v>
      </c>
      <c r="Q185">
        <v>340547000000000</v>
      </c>
      <c r="S185">
        <v>10159</v>
      </c>
      <c r="T185">
        <v>601</v>
      </c>
      <c r="U185">
        <v>0</v>
      </c>
      <c r="V185">
        <v>3.0747685185185183E-2</v>
      </c>
      <c r="W185">
        <v>33.85</v>
      </c>
      <c r="X185" t="s">
        <v>132</v>
      </c>
      <c r="Y185">
        <v>0</v>
      </c>
      <c r="Z185">
        <v>42724</v>
      </c>
      <c r="AA185">
        <v>53</v>
      </c>
      <c r="AB185">
        <v>28.95</v>
      </c>
      <c r="AC185" t="str">
        <f t="shared" si="4"/>
        <v>Small</v>
      </c>
      <c r="AD185" t="s">
        <v>575</v>
      </c>
      <c r="AE185" t="s">
        <v>38</v>
      </c>
      <c r="AF185" t="s">
        <v>66</v>
      </c>
      <c r="AG185" t="str">
        <f t="shared" si="5"/>
        <v>yes</v>
      </c>
      <c r="AH185" t="s">
        <v>44</v>
      </c>
      <c r="AI185" t="s">
        <v>573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1</v>
      </c>
      <c r="AW185">
        <v>1</v>
      </c>
      <c r="AX185">
        <v>0</v>
      </c>
      <c r="AY185">
        <v>0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 x14ac:dyDescent="0.3">
      <c r="A186" t="s">
        <v>616</v>
      </c>
      <c r="B186" t="s">
        <v>28</v>
      </c>
      <c r="C186" t="s">
        <v>314</v>
      </c>
      <c r="D186" t="s">
        <v>315</v>
      </c>
      <c r="E186" t="s">
        <v>196</v>
      </c>
      <c r="F186" t="s">
        <v>92</v>
      </c>
      <c r="G186">
        <v>75751</v>
      </c>
      <c r="H186">
        <v>0</v>
      </c>
      <c r="J186" t="s">
        <v>316</v>
      </c>
      <c r="K186" t="s">
        <v>317</v>
      </c>
      <c r="L186" t="s">
        <v>141</v>
      </c>
      <c r="N186" t="s">
        <v>55</v>
      </c>
      <c r="O186" t="s">
        <v>36</v>
      </c>
      <c r="P186">
        <v>23868154</v>
      </c>
      <c r="Q186">
        <v>36851600000000</v>
      </c>
      <c r="S186">
        <v>10163</v>
      </c>
      <c r="T186">
        <v>1566</v>
      </c>
      <c r="U186">
        <v>0</v>
      </c>
      <c r="V186">
        <v>2.3221064814814812E-2</v>
      </c>
      <c r="W186">
        <v>6.37</v>
      </c>
      <c r="X186" t="s">
        <v>278</v>
      </c>
      <c r="Y186">
        <v>0</v>
      </c>
      <c r="Z186">
        <v>42724</v>
      </c>
      <c r="AA186">
        <v>27</v>
      </c>
      <c r="AB186">
        <v>190.12</v>
      </c>
      <c r="AC186" t="str">
        <f t="shared" si="4"/>
        <v>Medium</v>
      </c>
      <c r="AD186" t="s">
        <v>575</v>
      </c>
      <c r="AE186" t="s">
        <v>43</v>
      </c>
      <c r="AF186" t="s">
        <v>57</v>
      </c>
      <c r="AG186" t="str">
        <f t="shared" si="5"/>
        <v>yes</v>
      </c>
      <c r="AH186" t="s">
        <v>58</v>
      </c>
      <c r="AI186" t="s">
        <v>571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1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 x14ac:dyDescent="0.3">
      <c r="A187" t="s">
        <v>622</v>
      </c>
      <c r="B187" t="s">
        <v>99</v>
      </c>
      <c r="C187" t="s">
        <v>347</v>
      </c>
      <c r="D187" t="s">
        <v>348</v>
      </c>
      <c r="E187" t="s">
        <v>196</v>
      </c>
      <c r="F187" t="s">
        <v>92</v>
      </c>
      <c r="G187">
        <v>78664</v>
      </c>
      <c r="H187">
        <v>0</v>
      </c>
      <c r="J187" t="s">
        <v>349</v>
      </c>
      <c r="K187" t="s">
        <v>350</v>
      </c>
      <c r="L187" t="s">
        <v>52</v>
      </c>
      <c r="N187" t="s">
        <v>133</v>
      </c>
      <c r="O187" t="s">
        <v>72</v>
      </c>
      <c r="P187" t="s">
        <v>351</v>
      </c>
      <c r="Q187">
        <v>4389230000000000</v>
      </c>
      <c r="S187">
        <v>10195</v>
      </c>
      <c r="T187">
        <v>4525</v>
      </c>
      <c r="U187">
        <v>0</v>
      </c>
      <c r="V187">
        <v>3.0747685185185183E-2</v>
      </c>
      <c r="W187">
        <v>10.15</v>
      </c>
      <c r="X187" t="s">
        <v>132</v>
      </c>
      <c r="Y187">
        <v>0</v>
      </c>
      <c r="Z187">
        <v>42724</v>
      </c>
      <c r="AA187">
        <v>68</v>
      </c>
      <c r="AB187">
        <v>235.03</v>
      </c>
      <c r="AC187" t="str">
        <f t="shared" si="4"/>
        <v>Medium</v>
      </c>
      <c r="AD187" t="s">
        <v>575</v>
      </c>
      <c r="AE187" t="s">
        <v>43</v>
      </c>
      <c r="AF187" t="s">
        <v>66</v>
      </c>
      <c r="AG187" t="str">
        <f t="shared" si="5"/>
        <v>yes</v>
      </c>
      <c r="AH187" t="s">
        <v>58</v>
      </c>
      <c r="AI187" t="s">
        <v>573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1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1</v>
      </c>
      <c r="BF187">
        <v>1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0</v>
      </c>
    </row>
    <row r="188" spans="1:64" x14ac:dyDescent="0.3">
      <c r="A188" t="s">
        <v>623</v>
      </c>
      <c r="B188" t="s">
        <v>99</v>
      </c>
      <c r="C188" t="s">
        <v>354</v>
      </c>
      <c r="D188" t="s">
        <v>355</v>
      </c>
      <c r="E188" t="s">
        <v>102</v>
      </c>
      <c r="F188" t="s">
        <v>31</v>
      </c>
      <c r="G188">
        <v>38063</v>
      </c>
      <c r="H188">
        <v>0</v>
      </c>
      <c r="J188" t="s">
        <v>356</v>
      </c>
      <c r="K188" t="s">
        <v>357</v>
      </c>
      <c r="L188" t="s">
        <v>95</v>
      </c>
      <c r="N188" t="s">
        <v>69</v>
      </c>
      <c r="O188" t="s">
        <v>64</v>
      </c>
      <c r="P188">
        <v>253000000000000</v>
      </c>
      <c r="Q188">
        <v>370252000000000</v>
      </c>
      <c r="S188">
        <v>10203</v>
      </c>
      <c r="T188">
        <v>7969</v>
      </c>
      <c r="U188">
        <v>0</v>
      </c>
      <c r="V188">
        <v>2.3803240740740739E-2</v>
      </c>
      <c r="W188">
        <v>26.87</v>
      </c>
      <c r="X188" t="s">
        <v>223</v>
      </c>
      <c r="Y188">
        <v>0</v>
      </c>
      <c r="Z188">
        <v>42724</v>
      </c>
      <c r="AA188">
        <v>38</v>
      </c>
      <c r="AB188">
        <v>11.64</v>
      </c>
      <c r="AC188" t="str">
        <f t="shared" si="4"/>
        <v>Small</v>
      </c>
      <c r="AD188" t="s">
        <v>575</v>
      </c>
      <c r="AE188" t="s">
        <v>38</v>
      </c>
      <c r="AF188" t="s">
        <v>66</v>
      </c>
      <c r="AG188" t="str">
        <f t="shared" si="5"/>
        <v>yes</v>
      </c>
      <c r="AH188" t="s">
        <v>44</v>
      </c>
      <c r="AI188" t="s">
        <v>571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0</v>
      </c>
      <c r="AV188">
        <v>1</v>
      </c>
      <c r="AW188">
        <v>1</v>
      </c>
      <c r="AX188">
        <v>0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 x14ac:dyDescent="0.3">
      <c r="A189" t="s">
        <v>640</v>
      </c>
      <c r="B189" t="s">
        <v>28</v>
      </c>
      <c r="C189" t="s">
        <v>444</v>
      </c>
      <c r="D189" t="s">
        <v>445</v>
      </c>
      <c r="E189" t="s">
        <v>171</v>
      </c>
      <c r="F189" t="s">
        <v>92</v>
      </c>
      <c r="G189">
        <v>20705</v>
      </c>
      <c r="H189">
        <v>0</v>
      </c>
      <c r="J189" t="s">
        <v>446</v>
      </c>
      <c r="K189" t="s">
        <v>447</v>
      </c>
      <c r="L189" t="s">
        <v>141</v>
      </c>
      <c r="N189" t="s">
        <v>448</v>
      </c>
      <c r="O189" t="s">
        <v>179</v>
      </c>
      <c r="P189">
        <v>751454315</v>
      </c>
      <c r="Q189">
        <v>36185500000000</v>
      </c>
      <c r="S189">
        <v>10283</v>
      </c>
      <c r="T189">
        <v>1379</v>
      </c>
      <c r="U189">
        <v>0</v>
      </c>
      <c r="V189">
        <v>3.0747685185185183E-2</v>
      </c>
      <c r="W189">
        <v>13.33</v>
      </c>
      <c r="X189" t="s">
        <v>132</v>
      </c>
      <c r="Y189">
        <v>0</v>
      </c>
      <c r="Z189">
        <v>42724</v>
      </c>
      <c r="AA189">
        <v>68</v>
      </c>
      <c r="AB189">
        <v>197.54</v>
      </c>
      <c r="AC189" t="str">
        <f t="shared" si="4"/>
        <v>Medium</v>
      </c>
      <c r="AD189" t="s">
        <v>575</v>
      </c>
      <c r="AE189" t="s">
        <v>43</v>
      </c>
      <c r="AF189" t="s">
        <v>39</v>
      </c>
      <c r="AG189" t="str">
        <f t="shared" si="5"/>
        <v>yes</v>
      </c>
      <c r="AH189" t="s">
        <v>58</v>
      </c>
      <c r="AI189" t="s">
        <v>573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1</v>
      </c>
    </row>
    <row r="190" spans="1:64" x14ac:dyDescent="0.3">
      <c r="A190" t="s">
        <v>595</v>
      </c>
      <c r="B190" t="s">
        <v>28</v>
      </c>
      <c r="C190" t="s">
        <v>169</v>
      </c>
      <c r="D190" t="s">
        <v>170</v>
      </c>
      <c r="E190" t="s">
        <v>171</v>
      </c>
      <c r="F190" t="s">
        <v>92</v>
      </c>
      <c r="G190">
        <v>20222</v>
      </c>
      <c r="H190">
        <v>0</v>
      </c>
      <c r="J190" t="s">
        <v>172</v>
      </c>
      <c r="K190" t="s">
        <v>173</v>
      </c>
      <c r="L190" t="s">
        <v>537</v>
      </c>
      <c r="N190" t="s">
        <v>174</v>
      </c>
      <c r="O190" t="s">
        <v>36</v>
      </c>
      <c r="P190">
        <v>530990002</v>
      </c>
      <c r="Q190">
        <v>3528680000000000</v>
      </c>
      <c r="S190">
        <v>10075</v>
      </c>
      <c r="T190">
        <v>2231</v>
      </c>
      <c r="U190">
        <v>0</v>
      </c>
      <c r="V190">
        <v>3.3291666666666664E-2</v>
      </c>
      <c r="W190">
        <v>9</v>
      </c>
      <c r="X190" t="s">
        <v>175</v>
      </c>
      <c r="Y190">
        <v>0</v>
      </c>
      <c r="Z190">
        <v>42729</v>
      </c>
      <c r="AA190">
        <v>73</v>
      </c>
      <c r="AB190">
        <v>197.81</v>
      </c>
      <c r="AC190" t="str">
        <f t="shared" si="4"/>
        <v>Medium</v>
      </c>
      <c r="AD190" t="s">
        <v>575</v>
      </c>
      <c r="AE190" t="s">
        <v>43</v>
      </c>
      <c r="AF190" t="s">
        <v>39</v>
      </c>
      <c r="AG190" t="str">
        <f t="shared" si="5"/>
        <v>yes</v>
      </c>
      <c r="AH190" t="s">
        <v>58</v>
      </c>
      <c r="AI190" t="s">
        <v>573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1</v>
      </c>
      <c r="BB190">
        <v>0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</row>
    <row r="191" spans="1:64" x14ac:dyDescent="0.3">
      <c r="A191" t="s">
        <v>650</v>
      </c>
      <c r="B191" t="s">
        <v>28</v>
      </c>
      <c r="C191" t="s">
        <v>491</v>
      </c>
      <c r="D191" t="s">
        <v>492</v>
      </c>
      <c r="F191" t="s">
        <v>49</v>
      </c>
      <c r="G191">
        <v>56370</v>
      </c>
      <c r="H191">
        <v>0</v>
      </c>
      <c r="J191" t="s">
        <v>493</v>
      </c>
      <c r="K191" t="s">
        <v>494</v>
      </c>
      <c r="L191" t="s">
        <v>141</v>
      </c>
      <c r="N191" t="s">
        <v>35</v>
      </c>
      <c r="O191" t="s">
        <v>72</v>
      </c>
      <c r="P191" t="s">
        <v>495</v>
      </c>
      <c r="Q191">
        <v>36501600000000</v>
      </c>
      <c r="S191">
        <v>10323</v>
      </c>
      <c r="T191">
        <v>1685</v>
      </c>
      <c r="U191">
        <v>0</v>
      </c>
      <c r="V191">
        <v>3.3291666666666664E-2</v>
      </c>
      <c r="W191">
        <v>11.45</v>
      </c>
      <c r="X191" t="s">
        <v>175</v>
      </c>
      <c r="Y191">
        <v>0</v>
      </c>
      <c r="Z191">
        <v>42729</v>
      </c>
      <c r="AA191" t="s">
        <v>56</v>
      </c>
      <c r="AB191">
        <v>45.77</v>
      </c>
      <c r="AC191" t="str">
        <f t="shared" si="4"/>
        <v>Small</v>
      </c>
      <c r="AD191" t="s">
        <v>578</v>
      </c>
      <c r="AE191" t="s">
        <v>38</v>
      </c>
      <c r="AF191" t="s">
        <v>57</v>
      </c>
      <c r="AG191" t="str">
        <f t="shared" si="5"/>
        <v>no</v>
      </c>
      <c r="AH191" t="s">
        <v>44</v>
      </c>
      <c r="AI191" t="s">
        <v>572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 x14ac:dyDescent="0.3">
      <c r="A192" t="s">
        <v>597</v>
      </c>
      <c r="B192" t="s">
        <v>99</v>
      </c>
      <c r="C192" t="s">
        <v>186</v>
      </c>
      <c r="D192" t="s">
        <v>187</v>
      </c>
      <c r="E192" t="s">
        <v>188</v>
      </c>
      <c r="F192" t="s">
        <v>31</v>
      </c>
      <c r="G192">
        <v>37060</v>
      </c>
      <c r="H192">
        <v>0</v>
      </c>
      <c r="J192" t="s">
        <v>189</v>
      </c>
      <c r="K192" t="s">
        <v>190</v>
      </c>
      <c r="L192" t="s">
        <v>537</v>
      </c>
      <c r="N192" t="s">
        <v>191</v>
      </c>
      <c r="O192" t="s">
        <v>36</v>
      </c>
      <c r="P192">
        <v>22868164</v>
      </c>
      <c r="Q192">
        <v>3528900000000000</v>
      </c>
      <c r="S192">
        <v>10083</v>
      </c>
      <c r="T192">
        <v>1728</v>
      </c>
      <c r="U192">
        <v>0</v>
      </c>
      <c r="V192">
        <v>4.1391203703703701E-2</v>
      </c>
      <c r="W192">
        <v>17.87</v>
      </c>
      <c r="X192" t="s">
        <v>192</v>
      </c>
      <c r="Y192">
        <v>0</v>
      </c>
      <c r="Z192">
        <v>42731</v>
      </c>
      <c r="AA192">
        <v>40</v>
      </c>
      <c r="AB192">
        <v>560</v>
      </c>
      <c r="AC192" t="str">
        <f t="shared" si="4"/>
        <v>Large</v>
      </c>
      <c r="AD192" t="s">
        <v>575</v>
      </c>
      <c r="AE192" t="s">
        <v>38</v>
      </c>
      <c r="AF192" t="s">
        <v>66</v>
      </c>
      <c r="AG192" t="str">
        <f t="shared" si="5"/>
        <v>yes</v>
      </c>
      <c r="AH192" t="s">
        <v>44</v>
      </c>
      <c r="AI192" t="s">
        <v>571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 x14ac:dyDescent="0.3">
      <c r="A193" t="s">
        <v>598</v>
      </c>
      <c r="B193" t="s">
        <v>193</v>
      </c>
      <c r="C193" t="s">
        <v>194</v>
      </c>
      <c r="D193" t="s">
        <v>195</v>
      </c>
      <c r="E193" t="s">
        <v>196</v>
      </c>
      <c r="F193" t="s">
        <v>92</v>
      </c>
      <c r="G193">
        <v>79109</v>
      </c>
      <c r="H193">
        <v>0</v>
      </c>
      <c r="J193" t="s">
        <v>197</v>
      </c>
      <c r="K193" t="s">
        <v>198</v>
      </c>
      <c r="L193" t="s">
        <v>95</v>
      </c>
      <c r="N193" t="s">
        <v>199</v>
      </c>
      <c r="O193" t="s">
        <v>31</v>
      </c>
      <c r="P193" t="s">
        <v>200</v>
      </c>
      <c r="Q193">
        <v>343640000000000</v>
      </c>
      <c r="S193">
        <v>10091</v>
      </c>
      <c r="T193">
        <v>3359</v>
      </c>
      <c r="U193">
        <v>0</v>
      </c>
      <c r="V193">
        <v>4.1391203703703701E-2</v>
      </c>
      <c r="W193">
        <v>68.569999999999993</v>
      </c>
      <c r="X193" t="s">
        <v>192</v>
      </c>
      <c r="Y193">
        <v>0</v>
      </c>
      <c r="Z193">
        <v>42731</v>
      </c>
      <c r="AA193">
        <v>40</v>
      </c>
      <c r="AB193">
        <v>24.08</v>
      </c>
      <c r="AC193" t="str">
        <f t="shared" si="4"/>
        <v>Small</v>
      </c>
      <c r="AD193" t="s">
        <v>575</v>
      </c>
      <c r="AE193" t="s">
        <v>38</v>
      </c>
      <c r="AF193" t="s">
        <v>66</v>
      </c>
      <c r="AG193" t="str">
        <f t="shared" si="5"/>
        <v>yes</v>
      </c>
      <c r="AH193" t="s">
        <v>44</v>
      </c>
      <c r="AI193" t="s">
        <v>571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 x14ac:dyDescent="0.3">
      <c r="A194" t="s">
        <v>603</v>
      </c>
      <c r="B194" t="s">
        <v>99</v>
      </c>
      <c r="C194" t="s">
        <v>230</v>
      </c>
      <c r="D194" t="s">
        <v>231</v>
      </c>
      <c r="E194" t="s">
        <v>232</v>
      </c>
      <c r="F194" t="s">
        <v>31</v>
      </c>
      <c r="G194">
        <v>30020</v>
      </c>
      <c r="H194">
        <v>0</v>
      </c>
      <c r="J194" t="s">
        <v>233</v>
      </c>
      <c r="K194" t="s">
        <v>234</v>
      </c>
      <c r="L194" t="s">
        <v>141</v>
      </c>
      <c r="N194" t="s">
        <v>235</v>
      </c>
      <c r="O194" t="s">
        <v>72</v>
      </c>
      <c r="P194" t="s">
        <v>236</v>
      </c>
      <c r="Q194">
        <v>36116700000000</v>
      </c>
      <c r="S194">
        <v>10111</v>
      </c>
      <c r="T194">
        <v>8444</v>
      </c>
      <c r="U194">
        <v>0</v>
      </c>
      <c r="V194">
        <v>4.1391203703703701E-2</v>
      </c>
      <c r="W194">
        <v>17.87</v>
      </c>
      <c r="X194" t="s">
        <v>192</v>
      </c>
      <c r="Y194">
        <v>0</v>
      </c>
      <c r="Z194">
        <v>42731</v>
      </c>
      <c r="AA194">
        <v>19</v>
      </c>
      <c r="AB194">
        <v>31.3</v>
      </c>
      <c r="AC194" t="str">
        <f t="shared" si="4"/>
        <v>Small</v>
      </c>
      <c r="AD194" t="s">
        <v>575</v>
      </c>
      <c r="AE194" t="s">
        <v>38</v>
      </c>
      <c r="AF194" t="s">
        <v>39</v>
      </c>
      <c r="AG194" t="str">
        <f t="shared" si="5"/>
        <v>yes</v>
      </c>
      <c r="AH194" t="s">
        <v>44</v>
      </c>
      <c r="AI194" t="s">
        <v>572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1</v>
      </c>
      <c r="AW194">
        <v>1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 x14ac:dyDescent="0.3">
      <c r="A195" t="s">
        <v>655</v>
      </c>
      <c r="B195" t="s">
        <v>99</v>
      </c>
      <c r="C195" t="s">
        <v>520</v>
      </c>
      <c r="D195" t="s">
        <v>521</v>
      </c>
      <c r="E195" t="s">
        <v>522</v>
      </c>
      <c r="F195" t="s">
        <v>92</v>
      </c>
      <c r="G195">
        <v>57718</v>
      </c>
      <c r="H195">
        <v>0</v>
      </c>
      <c r="J195" t="s">
        <v>523</v>
      </c>
      <c r="K195" t="s">
        <v>524</v>
      </c>
      <c r="L195" t="s">
        <v>95</v>
      </c>
      <c r="N195" t="s">
        <v>191</v>
      </c>
      <c r="O195" t="s">
        <v>64</v>
      </c>
      <c r="P195">
        <v>159000000000000</v>
      </c>
      <c r="Q195">
        <v>344168000000000</v>
      </c>
      <c r="S195">
        <v>10343</v>
      </c>
      <c r="T195">
        <v>2071</v>
      </c>
      <c r="U195">
        <v>0</v>
      </c>
      <c r="V195">
        <v>4.1391203703703701E-2</v>
      </c>
      <c r="W195">
        <v>5.66</v>
      </c>
      <c r="X195" t="s">
        <v>192</v>
      </c>
      <c r="Y195">
        <v>0</v>
      </c>
      <c r="Z195">
        <v>42731</v>
      </c>
      <c r="AA195">
        <v>58</v>
      </c>
      <c r="AB195">
        <v>33.33</v>
      </c>
      <c r="AC195" t="str">
        <f t="shared" ref="AC195" si="6">IF(AB195&gt;300,"Large",IF(AB195&gt;100,"Medium", IF(AB195&gt;0,"Small")))</f>
        <v>Small</v>
      </c>
      <c r="AD195" t="s">
        <v>575</v>
      </c>
      <c r="AE195" t="s">
        <v>38</v>
      </c>
      <c r="AF195" t="s">
        <v>66</v>
      </c>
      <c r="AG195" t="str">
        <f t="shared" ref="AG195" si="7">IF(AD195="complete","yes","no")</f>
        <v>yes</v>
      </c>
      <c r="AH195" t="s">
        <v>44</v>
      </c>
      <c r="AI195" t="s">
        <v>573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</sheetData>
  <autoFilter ref="A1:BL19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821E-9A00-4220-B361-FF1D3A19720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Akshata B M</cp:lastModifiedBy>
  <cp:revision/>
  <dcterms:created xsi:type="dcterms:W3CDTF">2020-07-06T10:10:33Z</dcterms:created>
  <dcterms:modified xsi:type="dcterms:W3CDTF">2026-06-14T11:08:41Z</dcterms:modified>
  <cp:category/>
  <cp:contentStatus/>
</cp:coreProperties>
</file>