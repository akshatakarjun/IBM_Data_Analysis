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776\Downloads\"/>
    </mc:Choice>
  </mc:AlternateContent>
  <xr:revisionPtr revIDLastSave="0" documentId="13_ncr:1_{B5E3A419-B2A3-4350-9C2D-C9CE7BD2A5A4}" xr6:coauthVersionLast="47" xr6:coauthVersionMax="47" xr10:uidLastSave="{00000000-0000-0000-0000-000000000000}"/>
  <bookViews>
    <workbookView xWindow="-108" yWindow="-108" windowWidth="23256" windowHeight="12456" activeTab="1" xr2:uid="{7FDFB2B1-D2B2-4942-83E7-6517650163D6}"/>
  </bookViews>
  <sheets>
    <sheet name="Montgomery_Fleet_Equipment_Inve" sheetId="1" r:id="rId1"/>
    <sheet name="Pivot Table 1" sheetId="4" r:id="rId2"/>
    <sheet name="Pivot Table 2" sheetId="2" r:id="rId3"/>
    <sheet name="Pivot Table 3" sheetId="3" r:id="rId4"/>
  </sheets>
  <definedNames>
    <definedName name="_xlnm._FilterDatabase" localSheetId="0" hidden="1">Montgomery_Fleet_Equipment_Inve!$A$1:$C$58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<sst xmlns="http://schemas.openxmlformats.org/spreadsheetml/2006/main" count="181" uniqueCount="40">
  <si>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</si>
  <si>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</si>
  <si>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</si>
  <si>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</si>
  <si>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</si>
  <si>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</si>
  <si>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</si>
  <si>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</si>
  <si>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</si>
  <si>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</si>
  <si>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</si>
  <si>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</si>
  <si>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</si>
  <si>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</si>
  <si>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</si>
  <si>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</si>
  <si>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</si>
  <si>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</si>
  <si>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</si>
  <si>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</si>
  <si>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</si>
  <si>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</si>
  <si>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</si>
  <si>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</si>
  <si>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</si>
  <si>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</si>
  <si>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</si>
  <si>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</si>
  <si>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</si>
  <si>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</si>
  <si>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</si>
  <si>
    <t>SUM</t>
  </si>
  <si>
    <t>AVERAGE</t>
  </si>
  <si>
    <t>MIN</t>
  </si>
  <si>
    <t>MAX</t>
  </si>
  <si>
    <t>COUNT</t>
  </si>
  <si>
    <t>Row Labels</t>
  </si>
  <si>
    <t>(blank)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</si>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</sst>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D0F12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76" refreshedDate="46190.953984375003" createdVersion="8" refreshedVersion="8" minRefreshableVersion="3" recordCount="54" xr:uid="{63A125BD-B64E-4CF8-A973-3E6105210C78}">
  <cacheSource type="worksheet">
    <worksheetSource name="Table1"/>
  </cacheSource>
  <cacheFields count="3">
    <cacheField name="Department" numFmtId="0">
      <sharedItems containsBlank="1" count="14">
        <s v="Board of Elections"/>
        <s v="Circuit Court"/>
        <s v="Community Engagement Cluster"/>
        <s v="Community Use of Public Facilities"/>
        <s v="Consumer Protection"/>
        <s v="Correction and Rehabilitation"/>
        <s v="County Executives Office"/>
        <s v="Economic Development"/>
        <s v="Environmental Protection"/>
        <s v="Finance "/>
        <s v="Fire and Rescue"/>
        <s v="General Services"/>
        <s v="Health and Human Services"/>
        <m/>
      </sharedItems>
    </cacheField>
    <cacheField name="Equipment Class" numFmtId="0">
      <sharedItems containsBlank="1" count="16">
        <s v="Van"/>
        <s v="Off Road Vehicle Equipment"/>
        <s v="SUV"/>
        <s v="Pick Up Trucks"/>
        <s v="Sedan"/>
        <s v="Public Safety Sedan"/>
        <s v="Public Safety SUV"/>
        <s v="CUV"/>
        <s v="Medium Duty"/>
        <s v="Public Safety Pick Up Trucks"/>
        <s v="Public Safety Van"/>
        <s v="Public Safety CUV"/>
        <s v="Public Safety Heavy Duty"/>
        <s v="Heavy Duty"/>
        <s v="Transit Bus"/>
        <m/>
      </sharedItems>
    </cacheField>
    <cacheField name="Equipment Count" numFmtId="0">
      <sharedItems containsString="0" containsBlank="1" containsNumber="1" containsInteger="1" minValue="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n v="1"/>
  </r>
  <r>
    <x v="0"/>
    <x v="1"/>
    <n v="2"/>
  </r>
  <r>
    <x v="1"/>
    <x v="2"/>
    <n v="1"/>
  </r>
  <r>
    <x v="2"/>
    <x v="3"/>
    <n v="8"/>
  </r>
  <r>
    <x v="2"/>
    <x v="1"/>
    <n v="7"/>
  </r>
  <r>
    <x v="2"/>
    <x v="2"/>
    <n v="2"/>
  </r>
  <r>
    <x v="3"/>
    <x v="4"/>
    <n v="1"/>
  </r>
  <r>
    <x v="4"/>
    <x v="4"/>
    <n v="1"/>
  </r>
  <r>
    <x v="5"/>
    <x v="1"/>
    <n v="3"/>
  </r>
  <r>
    <x v="5"/>
    <x v="5"/>
    <n v="1"/>
  </r>
  <r>
    <x v="5"/>
    <x v="6"/>
    <n v="2"/>
  </r>
  <r>
    <x v="5"/>
    <x v="2"/>
    <n v="3"/>
  </r>
  <r>
    <x v="5"/>
    <x v="3"/>
    <n v="1"/>
  </r>
  <r>
    <x v="5"/>
    <x v="0"/>
    <n v="8"/>
  </r>
  <r>
    <x v="5"/>
    <x v="4"/>
    <n v="10"/>
  </r>
  <r>
    <x v="5"/>
    <x v="7"/>
    <n v="1"/>
  </r>
  <r>
    <x v="6"/>
    <x v="4"/>
    <n v="2"/>
  </r>
  <r>
    <x v="6"/>
    <x v="6"/>
    <n v="3"/>
  </r>
  <r>
    <x v="7"/>
    <x v="2"/>
    <n v="1"/>
  </r>
  <r>
    <x v="8"/>
    <x v="2"/>
    <n v="18"/>
  </r>
  <r>
    <x v="8"/>
    <x v="4"/>
    <n v="15"/>
  </r>
  <r>
    <x v="8"/>
    <x v="0"/>
    <n v="3"/>
  </r>
  <r>
    <x v="8"/>
    <x v="7"/>
    <n v="1"/>
  </r>
  <r>
    <x v="8"/>
    <x v="8"/>
    <n v="2"/>
  </r>
  <r>
    <x v="8"/>
    <x v="3"/>
    <n v="33"/>
  </r>
  <r>
    <x v="9"/>
    <x v="4"/>
    <n v="3"/>
  </r>
  <r>
    <x v="10"/>
    <x v="6"/>
    <n v="27"/>
  </r>
  <r>
    <x v="10"/>
    <x v="9"/>
    <n v="12"/>
  </r>
  <r>
    <x v="10"/>
    <x v="5"/>
    <n v="18"/>
  </r>
  <r>
    <x v="10"/>
    <x v="10"/>
    <n v="11"/>
  </r>
  <r>
    <x v="10"/>
    <x v="2"/>
    <n v="6"/>
  </r>
  <r>
    <x v="10"/>
    <x v="0"/>
    <n v="4"/>
  </r>
  <r>
    <x v="10"/>
    <x v="1"/>
    <n v="2"/>
  </r>
  <r>
    <x v="10"/>
    <x v="3"/>
    <n v="12"/>
  </r>
  <r>
    <x v="10"/>
    <x v="4"/>
    <n v="1"/>
  </r>
  <r>
    <x v="10"/>
    <x v="11"/>
    <n v="4"/>
  </r>
  <r>
    <x v="10"/>
    <x v="12"/>
    <n v="1"/>
  </r>
  <r>
    <x v="10"/>
    <x v="13"/>
    <n v="1"/>
  </r>
  <r>
    <x v="10"/>
    <x v="14"/>
    <n v="1"/>
  </r>
  <r>
    <x v="11"/>
    <x v="10"/>
    <n v="1"/>
  </r>
  <r>
    <x v="11"/>
    <x v="2"/>
    <n v="21"/>
  </r>
  <r>
    <x v="11"/>
    <x v="12"/>
    <n v="1"/>
  </r>
  <r>
    <x v="11"/>
    <x v="1"/>
    <n v="45"/>
  </r>
  <r>
    <x v="11"/>
    <x v="4"/>
    <n v="31"/>
  </r>
  <r>
    <x v="11"/>
    <x v="8"/>
    <n v="3"/>
  </r>
  <r>
    <x v="11"/>
    <x v="0"/>
    <n v="42"/>
  </r>
  <r>
    <x v="11"/>
    <x v="7"/>
    <n v="5"/>
  </r>
  <r>
    <x v="11"/>
    <x v="13"/>
    <n v="5"/>
  </r>
  <r>
    <x v="11"/>
    <x v="3"/>
    <n v="48"/>
  </r>
  <r>
    <x v="12"/>
    <x v="7"/>
    <n v="5"/>
  </r>
  <r>
    <x v="12"/>
    <x v="0"/>
    <n v="15"/>
  </r>
  <r>
    <x v="12"/>
    <x v="6"/>
    <n v="1"/>
  </r>
  <r>
    <x v="12"/>
    <x v="4"/>
    <n v="75"/>
  </r>
  <r>
    <x v="13"/>
    <x v="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19661-C419-4D97-867D-56030FD51A5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6" firstHeaderRow="1" firstDataRow="1" firstDataCol="1"/>
  <pivotFields count="3"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5">
    <i>
      <x v="11"/>
    </i>
    <i>
      <x v="10"/>
    </i>
    <i>
      <x v="12"/>
    </i>
    <i>
      <x v="8"/>
    </i>
    <i>
      <x v="5"/>
    </i>
    <i>
      <x v="2"/>
    </i>
    <i>
      <x v="6"/>
    </i>
    <i>
      <x/>
    </i>
    <i>
      <x v="9"/>
    </i>
    <i>
      <x v="3"/>
    </i>
    <i>
      <x v="1"/>
    </i>
    <i>
      <x v="7"/>
    </i>
    <i>
      <x v="4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ECA23-81DE-4E1A-85AF-4DA54B716E4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6" firstHeaderRow="1" firstDataRow="1" firstDataCol="1"/>
  <pivotFields count="3"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7">
        <item x="7"/>
        <item x="13"/>
        <item x="8"/>
        <item x="1"/>
        <item x="3"/>
        <item x="11"/>
        <item x="12"/>
        <item x="9"/>
        <item x="5"/>
        <item x="6"/>
        <item x="10"/>
        <item x="4"/>
        <item x="2"/>
        <item x="14"/>
        <item x="0"/>
        <item x="15"/>
        <item t="default"/>
      </items>
    </pivotField>
    <pivotField dataField="1" showAll="0"/>
  </pivotFields>
  <rowFields count="2">
    <field x="0"/>
    <field x="1"/>
  </rowFields>
  <rowItems count="25">
    <i>
      <x v="11"/>
    </i>
    <i r="1">
      <x/>
    </i>
    <i r="1">
      <x v="1"/>
    </i>
    <i r="1">
      <x v="2"/>
    </i>
    <i r="1">
      <x v="3"/>
    </i>
    <i r="1">
      <x v="4"/>
    </i>
    <i r="1">
      <x v="6"/>
    </i>
    <i r="1">
      <x v="10"/>
    </i>
    <i r="1">
      <x v="11"/>
    </i>
    <i r="1">
      <x v="12"/>
    </i>
    <i r="1">
      <x v="14"/>
    </i>
    <i>
      <x v="10"/>
    </i>
    <i>
      <x v="12"/>
    </i>
    <i>
      <x v="8"/>
    </i>
    <i>
      <x v="5"/>
    </i>
    <i>
      <x v="2"/>
    </i>
    <i>
      <x v="6"/>
    </i>
    <i>
      <x/>
    </i>
    <i>
      <x v="9"/>
    </i>
    <i>
      <x v="3"/>
    </i>
    <i>
      <x v="1"/>
    </i>
    <i>
      <x v="7"/>
    </i>
    <i>
      <x v="4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BF491-A320-46D9-9B78-B0612FAAB23B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2" firstHeaderRow="1" firstDataRow="1" firstDataCol="1"/>
  <pivotFields count="3"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7">
        <item x="7"/>
        <item sd="0" x="13"/>
        <item sd="0" x="8"/>
        <item sd="0" x="1"/>
        <item sd="0" x="3"/>
        <item sd="0" x="11"/>
        <item sd="0" x="12"/>
        <item sd="0" x="9"/>
        <item sd="0" x="5"/>
        <item sd="0" x="6"/>
        <item sd="0" x="10"/>
        <item sd="0" x="4"/>
        <item sd="0" x="2"/>
        <item sd="0" x="14"/>
        <item sd="0" x="0"/>
        <item sd="0" x="15"/>
        <item t="default"/>
      </items>
    </pivotField>
    <pivotField dataField="1" showAll="0"/>
  </pivotFields>
  <rowFields count="2">
    <field x="1"/>
    <field x="0"/>
  </rowFields>
  <rowItems count="21">
    <i>
      <x/>
    </i>
    <i r="1">
      <x v="12"/>
    </i>
    <i r="1">
      <x v="11"/>
    </i>
    <i r="1">
      <x v="5"/>
    </i>
    <i r="1">
      <x v="8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8A1CF0-B6A0-4EC2-AC37-DD35D2F869C9}" name="Table1" displayName="Table1" ref="A1:C55" totalsRowShown="0">
  <autoFilter ref="A1:C55" xr:uid="{E08A1CF0-B6A0-4EC2-AC37-DD35D2F869C9}"/>
  <tableColumns count="3">
    <tableColumn id="1" xr3:uid="{26214570-234E-4DBA-BC04-0314DF29F468}" name="Department"/>
    <tableColumn id="2" xr3:uid="{0E55339D-CDAC-4216-9F95-2C3B2CD50082}" name="Equipment Class"/>
    <tableColumn id="3" xr3:uid="{F0661529-27C2-47E4-9652-C32B709D841E}" name="Equipment Coun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62B5-B64F-42EC-823C-B173938540F3}">
  <dimension ref="A1:F54"/>
  <sheetViews>
    <sheetView workbookViewId="0">
      <selection activeCell="G26" sqref="E10:G26"/>
    </sheetView>
  </sheetViews>
  <sheetFormatPr defaultRowHeight="14.4" x14ac:dyDescent="0.3"/>
  <cols>
    <col min="1" max="1" width="28.77734375" bestFit="1" customWidth="1"/>
    <col min="2" max="2" width="23.5546875" bestFit="1" customWidth="1"/>
    <col min="3" max="3" width="16.5546875" customWidth="1"/>
    <col min="5" max="5" width="28.77734375" bestFit="1" customWidth="1"/>
    <col min="6" max="6" width="21.6640625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18</v>
      </c>
      <c r="B2" t="s">
        <v>3</v>
      </c>
      <c r="C2">
        <v>1</v>
      </c>
      <c r="E2" s="1" t="s">
        <v>31</v>
      </c>
      <c r="F2">
        <f>SUM(C2:C54)</f>
        <v>531</v>
      </c>
    </row>
    <row r="3" spans="1:6" x14ac:dyDescent="0.3">
      <c r="A3" t="s">
        <v>18</v>
      </c>
      <c r="B3" t="s">
        <v>17</v>
      </c>
      <c r="C3">
        <v>2</v>
      </c>
      <c r="E3" s="1" t="s">
        <v>32</v>
      </c>
      <c r="F3">
        <f>AVERAGE(C2:C54)</f>
        <v>10.018867924528301</v>
      </c>
    </row>
    <row r="4" spans="1:6" x14ac:dyDescent="0.3">
      <c r="A4" t="s">
        <v>19</v>
      </c>
      <c r="B4" t="s">
        <v>4</v>
      </c>
      <c r="C4">
        <v>1</v>
      </c>
      <c r="E4" s="1" t="s">
        <v>33</v>
      </c>
      <c r="F4">
        <f>MIN(C2:C54)</f>
        <v>1</v>
      </c>
    </row>
    <row r="5" spans="1:6" x14ac:dyDescent="0.3">
      <c r="A5" t="s">
        <v>20</v>
      </c>
      <c r="B5" t="s">
        <v>6</v>
      </c>
      <c r="C5">
        <v>8</v>
      </c>
      <c r="E5" s="1" t="s">
        <v>34</v>
      </c>
      <c r="F5">
        <f>MAX(C2:C54)</f>
        <v>75</v>
      </c>
    </row>
    <row r="6" spans="1:6" x14ac:dyDescent="0.3">
      <c r="A6" t="s">
        <v>20</v>
      </c>
      <c r="B6" t="s">
        <v>17</v>
      </c>
      <c r="C6">
        <v>7</v>
      </c>
      <c r="E6" s="1" t="s">
        <v>35</v>
      </c>
      <c r="F6">
        <f>COUNT(C2:C54)</f>
        <v>53</v>
      </c>
    </row>
    <row r="7" spans="1:6" x14ac:dyDescent="0.3">
      <c r="A7" t="s">
        <v>20</v>
      </c>
      <c r="B7" t="s">
        <v>4</v>
      </c>
      <c r="C7">
        <v>2</v>
      </c>
    </row>
    <row r="8" spans="1:6" x14ac:dyDescent="0.3">
      <c r="A8" t="s">
        <v>21</v>
      </c>
      <c r="B8" t="s">
        <v>5</v>
      </c>
      <c r="C8">
        <v>1</v>
      </c>
    </row>
    <row r="9" spans="1:6" x14ac:dyDescent="0.3">
      <c r="A9" t="s">
        <v>22</v>
      </c>
      <c r="B9" t="s">
        <v>5</v>
      </c>
      <c r="C9">
        <v>1</v>
      </c>
    </row>
    <row r="10" spans="1:6" x14ac:dyDescent="0.3">
      <c r="A10" t="s">
        <v>23</v>
      </c>
      <c r="B10" t="s">
        <v>17</v>
      </c>
      <c r="C10">
        <v>3</v>
      </c>
    </row>
    <row r="11" spans="1:6" x14ac:dyDescent="0.3">
      <c r="A11" t="s">
        <v>23</v>
      </c>
      <c r="B11" t="s">
        <v>11</v>
      </c>
      <c r="C11">
        <v>1</v>
      </c>
    </row>
    <row r="12" spans="1:6" x14ac:dyDescent="0.3">
      <c r="A12" t="s">
        <v>23</v>
      </c>
      <c r="B12" t="s">
        <v>8</v>
      </c>
      <c r="C12">
        <v>2</v>
      </c>
    </row>
    <row r="13" spans="1:6" x14ac:dyDescent="0.3">
      <c r="A13" t="s">
        <v>23</v>
      </c>
      <c r="B13" t="s">
        <v>4</v>
      </c>
      <c r="C13">
        <v>3</v>
      </c>
    </row>
    <row r="14" spans="1:6" x14ac:dyDescent="0.3">
      <c r="A14" t="s">
        <v>23</v>
      </c>
      <c r="B14" t="s">
        <v>6</v>
      </c>
      <c r="C14">
        <v>1</v>
      </c>
    </row>
    <row r="15" spans="1:6" x14ac:dyDescent="0.3">
      <c r="A15" t="s">
        <v>23</v>
      </c>
      <c r="B15" t="s">
        <v>3</v>
      </c>
      <c r="C15">
        <v>8</v>
      </c>
    </row>
    <row r="16" spans="1:6" x14ac:dyDescent="0.3">
      <c r="A16" t="s">
        <v>23</v>
      </c>
      <c r="B16" t="s">
        <v>5</v>
      </c>
      <c r="C16">
        <v>10</v>
      </c>
    </row>
    <row r="17" spans="1:3" x14ac:dyDescent="0.3">
      <c r="A17" t="s">
        <v>23</v>
      </c>
      <c r="B17" t="s">
        <v>7</v>
      </c>
      <c r="C17">
        <v>1</v>
      </c>
    </row>
    <row r="18" spans="1:3" x14ac:dyDescent="0.3">
      <c r="A18" t="s">
        <v>24</v>
      </c>
      <c r="B18" t="s">
        <v>5</v>
      </c>
      <c r="C18">
        <v>2</v>
      </c>
    </row>
    <row r="19" spans="1:3" x14ac:dyDescent="0.3">
      <c r="A19" t="s">
        <v>24</v>
      </c>
      <c r="B19" t="s">
        <v>8</v>
      </c>
      <c r="C19">
        <v>3</v>
      </c>
    </row>
    <row r="20" spans="1:3" x14ac:dyDescent="0.3">
      <c r="A20" t="s">
        <v>25</v>
      </c>
      <c r="B20" t="s">
        <v>4</v>
      </c>
      <c r="C20">
        <v>1</v>
      </c>
    </row>
    <row r="21" spans="1:3" x14ac:dyDescent="0.3">
      <c r="A21" t="s">
        <v>26</v>
      </c>
      <c r="B21" t="s">
        <v>4</v>
      </c>
      <c r="C21">
        <v>18</v>
      </c>
    </row>
    <row r="22" spans="1:3" x14ac:dyDescent="0.3">
      <c r="A22" t="s">
        <v>26</v>
      </c>
      <c r="B22" t="s">
        <v>5</v>
      </c>
      <c r="C22">
        <v>15</v>
      </c>
    </row>
    <row r="23" spans="1:3" x14ac:dyDescent="0.3">
      <c r="A23" t="s">
        <v>26</v>
      </c>
      <c r="B23" t="s">
        <v>3</v>
      </c>
      <c r="C23">
        <v>3</v>
      </c>
    </row>
    <row r="24" spans="1:3" x14ac:dyDescent="0.3">
      <c r="A24" t="s">
        <v>26</v>
      </c>
      <c r="B24" t="s">
        <v>7</v>
      </c>
      <c r="C24">
        <v>1</v>
      </c>
    </row>
    <row r="25" spans="1:3" x14ac:dyDescent="0.3">
      <c r="A25" t="s">
        <v>26</v>
      </c>
      <c r="B25" t="s">
        <v>9</v>
      </c>
      <c r="C25">
        <v>2</v>
      </c>
    </row>
    <row r="26" spans="1:3" x14ac:dyDescent="0.3">
      <c r="A26" t="s">
        <v>26</v>
      </c>
      <c r="B26" t="s">
        <v>6</v>
      </c>
      <c r="C26">
        <v>33</v>
      </c>
    </row>
    <row r="27" spans="1:3" x14ac:dyDescent="0.3">
      <c r="A27" t="s">
        <v>27</v>
      </c>
      <c r="B27" t="s">
        <v>5</v>
      </c>
      <c r="C27">
        <v>3</v>
      </c>
    </row>
    <row r="28" spans="1:3" x14ac:dyDescent="0.3">
      <c r="A28" t="s">
        <v>28</v>
      </c>
      <c r="B28" t="s">
        <v>8</v>
      </c>
      <c r="C28">
        <v>27</v>
      </c>
    </row>
    <row r="29" spans="1:3" x14ac:dyDescent="0.3">
      <c r="A29" t="s">
        <v>28</v>
      </c>
      <c r="B29" t="s">
        <v>10</v>
      </c>
      <c r="C29">
        <v>12</v>
      </c>
    </row>
    <row r="30" spans="1:3" x14ac:dyDescent="0.3">
      <c r="A30" t="s">
        <v>28</v>
      </c>
      <c r="B30" t="s">
        <v>11</v>
      </c>
      <c r="C30">
        <v>18</v>
      </c>
    </row>
    <row r="31" spans="1:3" x14ac:dyDescent="0.3">
      <c r="A31" t="s">
        <v>28</v>
      </c>
      <c r="B31" t="s">
        <v>12</v>
      </c>
      <c r="C31">
        <v>11</v>
      </c>
    </row>
    <row r="32" spans="1:3" x14ac:dyDescent="0.3">
      <c r="A32" t="s">
        <v>28</v>
      </c>
      <c r="B32" t="s">
        <v>4</v>
      </c>
      <c r="C32">
        <v>6</v>
      </c>
    </row>
    <row r="33" spans="1:3" x14ac:dyDescent="0.3">
      <c r="A33" t="s">
        <v>28</v>
      </c>
      <c r="B33" t="s">
        <v>3</v>
      </c>
      <c r="C33">
        <v>4</v>
      </c>
    </row>
    <row r="34" spans="1:3" x14ac:dyDescent="0.3">
      <c r="A34" t="s">
        <v>28</v>
      </c>
      <c r="B34" t="s">
        <v>17</v>
      </c>
      <c r="C34">
        <v>2</v>
      </c>
    </row>
    <row r="35" spans="1:3" x14ac:dyDescent="0.3">
      <c r="A35" t="s">
        <v>28</v>
      </c>
      <c r="B35" t="s">
        <v>6</v>
      </c>
      <c r="C35">
        <v>12</v>
      </c>
    </row>
    <row r="36" spans="1:3" x14ac:dyDescent="0.3">
      <c r="A36" t="s">
        <v>28</v>
      </c>
      <c r="B36" t="s">
        <v>5</v>
      </c>
      <c r="C36">
        <v>1</v>
      </c>
    </row>
    <row r="37" spans="1:3" x14ac:dyDescent="0.3">
      <c r="A37" t="s">
        <v>28</v>
      </c>
      <c r="B37" t="s">
        <v>13</v>
      </c>
      <c r="C37">
        <v>4</v>
      </c>
    </row>
    <row r="38" spans="1:3" x14ac:dyDescent="0.3">
      <c r="A38" t="s">
        <v>28</v>
      </c>
      <c r="B38" t="s">
        <v>14</v>
      </c>
      <c r="C38">
        <v>1</v>
      </c>
    </row>
    <row r="39" spans="1:3" x14ac:dyDescent="0.3">
      <c r="A39" t="s">
        <v>28</v>
      </c>
      <c r="B39" t="s">
        <v>15</v>
      </c>
      <c r="C39">
        <v>1</v>
      </c>
    </row>
    <row r="40" spans="1:3" x14ac:dyDescent="0.3">
      <c r="A40" t="s">
        <v>28</v>
      </c>
      <c r="B40" t="s">
        <v>16</v>
      </c>
      <c r="C40">
        <v>1</v>
      </c>
    </row>
    <row r="41" spans="1:3" x14ac:dyDescent="0.3">
      <c r="A41" t="s">
        <v>29</v>
      </c>
      <c r="B41" t="s">
        <v>12</v>
      </c>
      <c r="C41">
        <v>1</v>
      </c>
    </row>
    <row r="42" spans="1:3" x14ac:dyDescent="0.3">
      <c r="A42" t="s">
        <v>29</v>
      </c>
      <c r="B42" t="s">
        <v>4</v>
      </c>
      <c r="C42">
        <v>21</v>
      </c>
    </row>
    <row r="43" spans="1:3" x14ac:dyDescent="0.3">
      <c r="A43" t="s">
        <v>29</v>
      </c>
      <c r="B43" t="s">
        <v>14</v>
      </c>
      <c r="C43">
        <v>1</v>
      </c>
    </row>
    <row r="44" spans="1:3" x14ac:dyDescent="0.3">
      <c r="A44" t="s">
        <v>29</v>
      </c>
      <c r="B44" t="s">
        <v>17</v>
      </c>
      <c r="C44">
        <v>45</v>
      </c>
    </row>
    <row r="45" spans="1:3" x14ac:dyDescent="0.3">
      <c r="A45" t="s">
        <v>29</v>
      </c>
      <c r="B45" t="s">
        <v>5</v>
      </c>
      <c r="C45">
        <v>31</v>
      </c>
    </row>
    <row r="46" spans="1:3" x14ac:dyDescent="0.3">
      <c r="A46" t="s">
        <v>29</v>
      </c>
      <c r="B46" t="s">
        <v>9</v>
      </c>
      <c r="C46">
        <v>3</v>
      </c>
    </row>
    <row r="47" spans="1:3" x14ac:dyDescent="0.3">
      <c r="A47" t="s">
        <v>29</v>
      </c>
      <c r="B47" t="s">
        <v>3</v>
      </c>
      <c r="C47">
        <v>42</v>
      </c>
    </row>
    <row r="48" spans="1:3" x14ac:dyDescent="0.3">
      <c r="A48" t="s">
        <v>29</v>
      </c>
      <c r="B48" t="s">
        <v>7</v>
      </c>
      <c r="C48">
        <v>5</v>
      </c>
    </row>
    <row r="49" spans="1:3" x14ac:dyDescent="0.3">
      <c r="A49" t="s">
        <v>29</v>
      </c>
      <c r="B49" t="s">
        <v>15</v>
      </c>
      <c r="C49">
        <v>5</v>
      </c>
    </row>
    <row r="50" spans="1:3" x14ac:dyDescent="0.3">
      <c r="A50" t="s">
        <v>29</v>
      </c>
      <c r="B50" t="s">
        <v>6</v>
      </c>
      <c r="C50">
        <v>48</v>
      </c>
    </row>
    <row r="51" spans="1:3" x14ac:dyDescent="0.3">
      <c r="A51" t="s">
        <v>30</v>
      </c>
      <c r="B51" t="s">
        <v>7</v>
      </c>
      <c r="C51">
        <v>5</v>
      </c>
    </row>
    <row r="52" spans="1:3" x14ac:dyDescent="0.3">
      <c r="A52" t="s">
        <v>30</v>
      </c>
      <c r="B52" t="s">
        <v>3</v>
      </c>
      <c r="C52">
        <v>15</v>
      </c>
    </row>
    <row r="53" spans="1:3" x14ac:dyDescent="0.3">
      <c r="A53" t="s">
        <v>30</v>
      </c>
      <c r="B53" t="s">
        <v>8</v>
      </c>
      <c r="C53">
        <v>1</v>
      </c>
    </row>
    <row r="54" spans="1:3" x14ac:dyDescent="0.3">
      <c r="A54" t="s">
        <v>30</v>
      </c>
      <c r="B54" t="s">
        <v>5</v>
      </c>
      <c r="C54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A8ED-B806-4A20-80AA-D285D70074AB}">
  <dimension ref="A1:B16"/>
  <sheetViews>
    <sheetView tabSelected="1" workbookViewId="0">
      <selection activeCell="F8" sqref="F8"/>
    </sheetView>
  </sheetViews>
  <sheetFormatPr defaultRowHeight="14.4" x14ac:dyDescent="0.3"/>
  <cols>
    <col min="1" max="1" width="28.77734375" bestFit="1" customWidth="1"/>
    <col min="2" max="2" width="21.6640625" bestFit="1" customWidth="1"/>
  </cols>
  <sheetData>
    <row r="1" spans="1:2" x14ac:dyDescent="0.3">
      <c r="A1" s="2" t="s">
        <v>36</v>
      </c>
      <c r="B1" t="s">
        <v>39</v>
      </c>
    </row>
    <row r="2" spans="1:2" x14ac:dyDescent="0.3">
      <c r="A2" s="3" t="s">
        <v>29</v>
      </c>
      <c r="B2" s="4">
        <v>202</v>
      </c>
    </row>
    <row r="3" spans="1:2" x14ac:dyDescent="0.3">
      <c r="A3" s="3" t="s">
        <v>28</v>
      </c>
      <c r="B3" s="4">
        <v>100</v>
      </c>
    </row>
    <row r="4" spans="1:2" x14ac:dyDescent="0.3">
      <c r="A4" s="3" t="s">
        <v>30</v>
      </c>
      <c r="B4" s="4">
        <v>96</v>
      </c>
    </row>
    <row r="5" spans="1:2" x14ac:dyDescent="0.3">
      <c r="A5" s="3" t="s">
        <v>26</v>
      </c>
      <c r="B5" s="4">
        <v>72</v>
      </c>
    </row>
    <row r="6" spans="1:2" x14ac:dyDescent="0.3">
      <c r="A6" s="3" t="s">
        <v>23</v>
      </c>
      <c r="B6" s="4">
        <v>29</v>
      </c>
    </row>
    <row r="7" spans="1:2" x14ac:dyDescent="0.3">
      <c r="A7" s="3" t="s">
        <v>20</v>
      </c>
      <c r="B7" s="4">
        <v>17</v>
      </c>
    </row>
    <row r="8" spans="1:2" x14ac:dyDescent="0.3">
      <c r="A8" s="3" t="s">
        <v>24</v>
      </c>
      <c r="B8" s="4">
        <v>5</v>
      </c>
    </row>
    <row r="9" spans="1:2" x14ac:dyDescent="0.3">
      <c r="A9" s="3" t="s">
        <v>18</v>
      </c>
      <c r="B9" s="4">
        <v>3</v>
      </c>
    </row>
    <row r="10" spans="1:2" x14ac:dyDescent="0.3">
      <c r="A10" s="3" t="s">
        <v>27</v>
      </c>
      <c r="B10" s="4">
        <v>3</v>
      </c>
    </row>
    <row r="11" spans="1:2" x14ac:dyDescent="0.3">
      <c r="A11" s="3" t="s">
        <v>21</v>
      </c>
      <c r="B11" s="4">
        <v>1</v>
      </c>
    </row>
    <row r="12" spans="1:2" x14ac:dyDescent="0.3">
      <c r="A12" s="3" t="s">
        <v>19</v>
      </c>
      <c r="B12" s="4">
        <v>1</v>
      </c>
    </row>
    <row r="13" spans="1:2" x14ac:dyDescent="0.3">
      <c r="A13" s="3" t="s">
        <v>25</v>
      </c>
      <c r="B13" s="4">
        <v>1</v>
      </c>
    </row>
    <row r="14" spans="1:2" x14ac:dyDescent="0.3">
      <c r="A14" s="3" t="s">
        <v>22</v>
      </c>
      <c r="B14" s="4">
        <v>1</v>
      </c>
    </row>
    <row r="15" spans="1:2" x14ac:dyDescent="0.3">
      <c r="A15" s="3" t="s">
        <v>37</v>
      </c>
      <c r="B15" s="4"/>
    </row>
    <row r="16" spans="1:2" x14ac:dyDescent="0.3">
      <c r="A16" s="3" t="s">
        <v>38</v>
      </c>
      <c r="B16" s="4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1FC2-B396-4779-8D77-54B82996581F}">
  <dimension ref="A1:B26"/>
  <sheetViews>
    <sheetView workbookViewId="0">
      <selection activeCell="D17" sqref="D17"/>
    </sheetView>
  </sheetViews>
  <sheetFormatPr defaultRowHeight="14.4" x14ac:dyDescent="0.3"/>
  <cols>
    <col min="1" max="1" width="32" bestFit="1" customWidth="1"/>
    <col min="2" max="2" width="21.6640625" bestFit="1" customWidth="1"/>
  </cols>
  <sheetData>
    <row r="1" spans="1:2" x14ac:dyDescent="0.3">
      <c r="A1" s="2" t="s">
        <v>36</v>
      </c>
      <c r="B1" t="s">
        <v>39</v>
      </c>
    </row>
    <row r="2" spans="1:2" x14ac:dyDescent="0.3">
      <c r="A2" s="3" t="s">
        <v>29</v>
      </c>
      <c r="B2" s="4">
        <v>202</v>
      </c>
    </row>
    <row r="3" spans="1:2" x14ac:dyDescent="0.3">
      <c r="A3" s="5" t="s">
        <v>7</v>
      </c>
      <c r="B3" s="4">
        <v>5</v>
      </c>
    </row>
    <row r="4" spans="1:2" x14ac:dyDescent="0.3">
      <c r="A4" s="5" t="s">
        <v>15</v>
      </c>
      <c r="B4" s="4">
        <v>5</v>
      </c>
    </row>
    <row r="5" spans="1:2" x14ac:dyDescent="0.3">
      <c r="A5" s="5" t="s">
        <v>9</v>
      </c>
      <c r="B5" s="4">
        <v>3</v>
      </c>
    </row>
    <row r="6" spans="1:2" x14ac:dyDescent="0.3">
      <c r="A6" s="5" t="s">
        <v>17</v>
      </c>
      <c r="B6" s="4">
        <v>45</v>
      </c>
    </row>
    <row r="7" spans="1:2" x14ac:dyDescent="0.3">
      <c r="A7" s="5" t="s">
        <v>6</v>
      </c>
      <c r="B7" s="4">
        <v>48</v>
      </c>
    </row>
    <row r="8" spans="1:2" x14ac:dyDescent="0.3">
      <c r="A8" s="5" t="s">
        <v>14</v>
      </c>
      <c r="B8" s="4">
        <v>1</v>
      </c>
    </row>
    <row r="9" spans="1:2" x14ac:dyDescent="0.3">
      <c r="A9" s="5" t="s">
        <v>12</v>
      </c>
      <c r="B9" s="4">
        <v>1</v>
      </c>
    </row>
    <row r="10" spans="1:2" x14ac:dyDescent="0.3">
      <c r="A10" s="5" t="s">
        <v>5</v>
      </c>
      <c r="B10" s="4">
        <v>31</v>
      </c>
    </row>
    <row r="11" spans="1:2" x14ac:dyDescent="0.3">
      <c r="A11" s="5" t="s">
        <v>4</v>
      </c>
      <c r="B11" s="4">
        <v>21</v>
      </c>
    </row>
    <row r="12" spans="1:2" x14ac:dyDescent="0.3">
      <c r="A12" s="5" t="s">
        <v>3</v>
      </c>
      <c r="B12" s="4">
        <v>42</v>
      </c>
    </row>
    <row r="13" spans="1:2" x14ac:dyDescent="0.3">
      <c r="A13" s="3" t="s">
        <v>28</v>
      </c>
      <c r="B13" s="4">
        <v>100</v>
      </c>
    </row>
    <row r="14" spans="1:2" x14ac:dyDescent="0.3">
      <c r="A14" s="3" t="s">
        <v>30</v>
      </c>
      <c r="B14" s="4">
        <v>96</v>
      </c>
    </row>
    <row r="15" spans="1:2" x14ac:dyDescent="0.3">
      <c r="A15" s="3" t="s">
        <v>26</v>
      </c>
      <c r="B15" s="4">
        <v>72</v>
      </c>
    </row>
    <row r="16" spans="1:2" x14ac:dyDescent="0.3">
      <c r="A16" s="3" t="s">
        <v>23</v>
      </c>
      <c r="B16" s="4">
        <v>29</v>
      </c>
    </row>
    <row r="17" spans="1:2" x14ac:dyDescent="0.3">
      <c r="A17" s="3" t="s">
        <v>20</v>
      </c>
      <c r="B17" s="4">
        <v>17</v>
      </c>
    </row>
    <row r="18" spans="1:2" x14ac:dyDescent="0.3">
      <c r="A18" s="3" t="s">
        <v>24</v>
      </c>
      <c r="B18" s="4">
        <v>5</v>
      </c>
    </row>
    <row r="19" spans="1:2" x14ac:dyDescent="0.3">
      <c r="A19" s="3" t="s">
        <v>18</v>
      </c>
      <c r="B19" s="4">
        <v>3</v>
      </c>
    </row>
    <row r="20" spans="1:2" x14ac:dyDescent="0.3">
      <c r="A20" s="3" t="s">
        <v>27</v>
      </c>
      <c r="B20" s="4">
        <v>3</v>
      </c>
    </row>
    <row r="21" spans="1:2" x14ac:dyDescent="0.3">
      <c r="A21" s="3" t="s">
        <v>21</v>
      </c>
      <c r="B21" s="4">
        <v>1</v>
      </c>
    </row>
    <row r="22" spans="1:2" x14ac:dyDescent="0.3">
      <c r="A22" s="3" t="s">
        <v>19</v>
      </c>
      <c r="B22" s="4">
        <v>1</v>
      </c>
    </row>
    <row r="23" spans="1:2" x14ac:dyDescent="0.3">
      <c r="A23" s="3" t="s">
        <v>25</v>
      </c>
      <c r="B23" s="4">
        <v>1</v>
      </c>
    </row>
    <row r="24" spans="1:2" x14ac:dyDescent="0.3">
      <c r="A24" s="3" t="s">
        <v>22</v>
      </c>
      <c r="B24" s="4">
        <v>1</v>
      </c>
    </row>
    <row r="25" spans="1:2" x14ac:dyDescent="0.3">
      <c r="A25" s="3" t="s">
        <v>37</v>
      </c>
      <c r="B25" s="4"/>
    </row>
    <row r="26" spans="1:2" x14ac:dyDescent="0.3">
      <c r="A26" s="3" t="s">
        <v>38</v>
      </c>
      <c r="B26" s="4">
        <v>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A18D-AA27-41F4-B5EF-57FFB0EEC055}">
  <dimension ref="A1:B22"/>
  <sheetViews>
    <sheetView workbookViewId="0">
      <selection activeCell="F16" sqref="F16"/>
    </sheetView>
  </sheetViews>
  <sheetFormatPr defaultRowHeight="14.4" x14ac:dyDescent="0.3"/>
  <cols>
    <col min="1" max="1" width="27.77734375" bestFit="1" customWidth="1"/>
    <col min="2" max="2" width="21.6640625" bestFit="1" customWidth="1"/>
  </cols>
  <sheetData>
    <row r="1" spans="1:2" x14ac:dyDescent="0.3">
      <c r="A1" s="2" t="s">
        <v>36</v>
      </c>
      <c r="B1" t="s">
        <v>39</v>
      </c>
    </row>
    <row r="2" spans="1:2" x14ac:dyDescent="0.3">
      <c r="A2" s="3" t="s">
        <v>7</v>
      </c>
      <c r="B2" s="4">
        <v>12</v>
      </c>
    </row>
    <row r="3" spans="1:2" x14ac:dyDescent="0.3">
      <c r="A3" s="5" t="s">
        <v>30</v>
      </c>
      <c r="B3" s="4">
        <v>5</v>
      </c>
    </row>
    <row r="4" spans="1:2" x14ac:dyDescent="0.3">
      <c r="A4" s="5" t="s">
        <v>29</v>
      </c>
      <c r="B4" s="4">
        <v>5</v>
      </c>
    </row>
    <row r="5" spans="1:2" x14ac:dyDescent="0.3">
      <c r="A5" s="5" t="s">
        <v>23</v>
      </c>
      <c r="B5" s="4">
        <v>1</v>
      </c>
    </row>
    <row r="6" spans="1:2" x14ac:dyDescent="0.3">
      <c r="A6" s="5" t="s">
        <v>26</v>
      </c>
      <c r="B6" s="4">
        <v>1</v>
      </c>
    </row>
    <row r="7" spans="1:2" x14ac:dyDescent="0.3">
      <c r="A7" s="3" t="s">
        <v>15</v>
      </c>
      <c r="B7" s="4">
        <v>6</v>
      </c>
    </row>
    <row r="8" spans="1:2" x14ac:dyDescent="0.3">
      <c r="A8" s="3" t="s">
        <v>9</v>
      </c>
      <c r="B8" s="4">
        <v>5</v>
      </c>
    </row>
    <row r="9" spans="1:2" x14ac:dyDescent="0.3">
      <c r="A9" s="3" t="s">
        <v>17</v>
      </c>
      <c r="B9" s="4">
        <v>59</v>
      </c>
    </row>
    <row r="10" spans="1:2" x14ac:dyDescent="0.3">
      <c r="A10" s="3" t="s">
        <v>6</v>
      </c>
      <c r="B10" s="4">
        <v>102</v>
      </c>
    </row>
    <row r="11" spans="1:2" x14ac:dyDescent="0.3">
      <c r="A11" s="3" t="s">
        <v>13</v>
      </c>
      <c r="B11" s="4">
        <v>4</v>
      </c>
    </row>
    <row r="12" spans="1:2" x14ac:dyDescent="0.3">
      <c r="A12" s="3" t="s">
        <v>14</v>
      </c>
      <c r="B12" s="4">
        <v>2</v>
      </c>
    </row>
    <row r="13" spans="1:2" x14ac:dyDescent="0.3">
      <c r="A13" s="3" t="s">
        <v>10</v>
      </c>
      <c r="B13" s="4">
        <v>12</v>
      </c>
    </row>
    <row r="14" spans="1:2" x14ac:dyDescent="0.3">
      <c r="A14" s="3" t="s">
        <v>11</v>
      </c>
      <c r="B14" s="4">
        <v>19</v>
      </c>
    </row>
    <row r="15" spans="1:2" x14ac:dyDescent="0.3">
      <c r="A15" s="3" t="s">
        <v>8</v>
      </c>
      <c r="B15" s="4">
        <v>33</v>
      </c>
    </row>
    <row r="16" spans="1:2" x14ac:dyDescent="0.3">
      <c r="A16" s="3" t="s">
        <v>12</v>
      </c>
      <c r="B16" s="4">
        <v>12</v>
      </c>
    </row>
    <row r="17" spans="1:2" x14ac:dyDescent="0.3">
      <c r="A17" s="3" t="s">
        <v>5</v>
      </c>
      <c r="B17" s="4">
        <v>139</v>
      </c>
    </row>
    <row r="18" spans="1:2" x14ac:dyDescent="0.3">
      <c r="A18" s="3" t="s">
        <v>4</v>
      </c>
      <c r="B18" s="4">
        <v>52</v>
      </c>
    </row>
    <row r="19" spans="1:2" x14ac:dyDescent="0.3">
      <c r="A19" s="3" t="s">
        <v>16</v>
      </c>
      <c r="B19" s="4">
        <v>1</v>
      </c>
    </row>
    <row r="20" spans="1:2" x14ac:dyDescent="0.3">
      <c r="A20" s="3" t="s">
        <v>3</v>
      </c>
      <c r="B20" s="4">
        <v>73</v>
      </c>
    </row>
    <row r="21" spans="1:2" x14ac:dyDescent="0.3">
      <c r="A21" s="3" t="s">
        <v>37</v>
      </c>
      <c r="B21" s="4"/>
    </row>
    <row r="22" spans="1:2" x14ac:dyDescent="0.3">
      <c r="A22" s="3" t="s">
        <v>38</v>
      </c>
      <c r="B22" s="4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Akshata B M</dc:creator>
  <cp:lastModifiedBy>Akshata B M</cp:lastModifiedBy>
  <dcterms:created xsi:type="dcterms:W3CDTF">2026-06-14T21:30:46Z</dcterms:created>
  <dcterms:modified xsi:type="dcterms:W3CDTF">2026-06-17T22:10:15Z</dcterms:modified>
</cp:coreProperties>
</file>